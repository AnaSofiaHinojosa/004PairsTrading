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vannaherrera/Downloads/Visual studio/Proyectos trading/004PairsTrading/"/>
    </mc:Choice>
  </mc:AlternateContent>
  <xr:revisionPtr revIDLastSave="0" documentId="13_ncr:1_{9F34DCFE-98DF-0847-9CB5-E12401F3DE0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os" sheetId="1" r:id="rId1"/>
    <sheet name="Pasan" sheetId="8" r:id="rId2"/>
    <sheet name="Pasan transpuesta" sheetId="9" r:id="rId3"/>
    <sheet name="Correlación" sheetId="2" r:id="rId4"/>
    <sheet name="ADF" sheetId="3" r:id="rId5"/>
    <sheet name="Johansen" sheetId="4" r:id="rId6"/>
    <sheet name="Selected pair" sheetId="5" r:id="rId7"/>
  </sheets>
  <definedNames>
    <definedName name="_xlnm._FilterDatabase" localSheetId="1" hidden="1">Pasan!$B$2:$Q$64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9" l="1"/>
  <c r="F11" i="9"/>
  <c r="F8" i="9"/>
  <c r="F6" i="9"/>
  <c r="F17" i="9" s="1"/>
  <c r="E16" i="9"/>
  <c r="E11" i="9"/>
  <c r="E8" i="9"/>
  <c r="E6" i="9"/>
  <c r="E17" i="9" s="1"/>
  <c r="D16" i="9"/>
  <c r="D11" i="9"/>
  <c r="D8" i="9"/>
  <c r="D6" i="9"/>
  <c r="D17" i="9" s="1"/>
  <c r="C16" i="9"/>
  <c r="C11" i="9"/>
  <c r="C8" i="9"/>
  <c r="C6" i="9"/>
  <c r="C17" i="9" s="1"/>
  <c r="P64" i="8"/>
  <c r="K64" i="8"/>
  <c r="H64" i="8"/>
  <c r="F64" i="8"/>
  <c r="Q64" i="8" s="1"/>
  <c r="P63" i="8"/>
  <c r="K63" i="8"/>
  <c r="H63" i="8"/>
  <c r="F63" i="8"/>
  <c r="Q63" i="8" s="1"/>
  <c r="P62" i="8"/>
  <c r="K62" i="8"/>
  <c r="H62" i="8"/>
  <c r="F62" i="8"/>
  <c r="Q62" i="8" s="1"/>
  <c r="P61" i="8"/>
  <c r="K61" i="8"/>
  <c r="H61" i="8"/>
  <c r="F61" i="8"/>
  <c r="Q61" i="8" s="1"/>
  <c r="P60" i="8"/>
  <c r="K60" i="8"/>
  <c r="H60" i="8"/>
  <c r="F60" i="8"/>
  <c r="Q60" i="8" s="1"/>
  <c r="P59" i="8"/>
  <c r="K59" i="8"/>
  <c r="H59" i="8"/>
  <c r="F59" i="8"/>
  <c r="Q59" i="8" s="1"/>
  <c r="P58" i="8"/>
  <c r="K58" i="8"/>
  <c r="H58" i="8"/>
  <c r="F58" i="8"/>
  <c r="Q58" i="8" s="1"/>
  <c r="P57" i="8"/>
  <c r="K57" i="8"/>
  <c r="H57" i="8"/>
  <c r="F57" i="8"/>
  <c r="P56" i="8"/>
  <c r="K56" i="8"/>
  <c r="H56" i="8"/>
  <c r="F56" i="8"/>
  <c r="Q56" i="8" s="1"/>
  <c r="P55" i="8"/>
  <c r="K55" i="8"/>
  <c r="H55" i="8"/>
  <c r="F55" i="8"/>
  <c r="Q55" i="8" s="1"/>
  <c r="P54" i="8"/>
  <c r="K54" i="8"/>
  <c r="H54" i="8"/>
  <c r="F54" i="8"/>
  <c r="Q54" i="8" s="1"/>
  <c r="P53" i="8"/>
  <c r="K53" i="8"/>
  <c r="H53" i="8"/>
  <c r="F53" i="8"/>
  <c r="Q53" i="8" s="1"/>
  <c r="P52" i="8"/>
  <c r="K52" i="8"/>
  <c r="H52" i="8"/>
  <c r="F52" i="8"/>
  <c r="Q52" i="8" s="1"/>
  <c r="P51" i="8"/>
  <c r="K51" i="8"/>
  <c r="H51" i="8"/>
  <c r="F51" i="8"/>
  <c r="Q51" i="8" s="1"/>
  <c r="P50" i="8"/>
  <c r="K50" i="8"/>
  <c r="H50" i="8"/>
  <c r="F50" i="8"/>
  <c r="Q50" i="8" s="1"/>
  <c r="P49" i="8"/>
  <c r="K49" i="8"/>
  <c r="H49" i="8"/>
  <c r="F49" i="8"/>
  <c r="Q49" i="8" s="1"/>
  <c r="P48" i="8"/>
  <c r="K48" i="8"/>
  <c r="H48" i="8"/>
  <c r="F48" i="8"/>
  <c r="Q48" i="8" s="1"/>
  <c r="P47" i="8"/>
  <c r="K47" i="8"/>
  <c r="H47" i="8"/>
  <c r="F47" i="8"/>
  <c r="Q47" i="8" s="1"/>
  <c r="P46" i="8"/>
  <c r="K46" i="8"/>
  <c r="H46" i="8"/>
  <c r="F46" i="8"/>
  <c r="Q46" i="8" s="1"/>
  <c r="P45" i="8"/>
  <c r="K45" i="8"/>
  <c r="H45" i="8"/>
  <c r="F45" i="8"/>
  <c r="Q45" i="8" s="1"/>
  <c r="P44" i="8"/>
  <c r="K44" i="8"/>
  <c r="H44" i="8"/>
  <c r="F44" i="8"/>
  <c r="Q44" i="8" s="1"/>
  <c r="Q43" i="8"/>
  <c r="P43" i="8"/>
  <c r="K43" i="8"/>
  <c r="H43" i="8"/>
  <c r="F43" i="8"/>
  <c r="P42" i="8"/>
  <c r="K42" i="8"/>
  <c r="H42" i="8"/>
  <c r="F42" i="8"/>
  <c r="Q42" i="8" s="1"/>
  <c r="P41" i="8"/>
  <c r="K41" i="8"/>
  <c r="H41" i="8"/>
  <c r="F41" i="8"/>
  <c r="Q41" i="8" s="1"/>
  <c r="P40" i="8"/>
  <c r="K40" i="8"/>
  <c r="H40" i="8"/>
  <c r="F40" i="8"/>
  <c r="Q40" i="8" s="1"/>
  <c r="P39" i="8"/>
  <c r="K39" i="8"/>
  <c r="H39" i="8"/>
  <c r="F39" i="8"/>
  <c r="Q39" i="8" s="1"/>
  <c r="P38" i="8"/>
  <c r="K38" i="8"/>
  <c r="H38" i="8"/>
  <c r="F38" i="8"/>
  <c r="Q38" i="8" s="1"/>
  <c r="P37" i="8"/>
  <c r="K37" i="8"/>
  <c r="H37" i="8"/>
  <c r="F37" i="8"/>
  <c r="Q37" i="8" s="1"/>
  <c r="P36" i="8"/>
  <c r="K36" i="8"/>
  <c r="H36" i="8"/>
  <c r="F36" i="8"/>
  <c r="Q36" i="8" s="1"/>
  <c r="P35" i="8"/>
  <c r="K35" i="8"/>
  <c r="H35" i="8"/>
  <c r="F35" i="8"/>
  <c r="Q35" i="8" s="1"/>
  <c r="P34" i="8"/>
  <c r="K34" i="8"/>
  <c r="H34" i="8"/>
  <c r="F34" i="8"/>
  <c r="Q34" i="8" s="1"/>
  <c r="P33" i="8"/>
  <c r="K33" i="8"/>
  <c r="H33" i="8"/>
  <c r="F33" i="8"/>
  <c r="Q33" i="8" s="1"/>
  <c r="P32" i="8"/>
  <c r="K32" i="8"/>
  <c r="H32" i="8"/>
  <c r="F32" i="8"/>
  <c r="Q32" i="8" s="1"/>
  <c r="P31" i="8"/>
  <c r="K31" i="8"/>
  <c r="H31" i="8"/>
  <c r="F31" i="8"/>
  <c r="Q31" i="8" s="1"/>
  <c r="P30" i="8"/>
  <c r="K30" i="8"/>
  <c r="H30" i="8"/>
  <c r="F30" i="8"/>
  <c r="Q30" i="8" s="1"/>
  <c r="P29" i="8"/>
  <c r="K29" i="8"/>
  <c r="H29" i="8"/>
  <c r="F29" i="8"/>
  <c r="Q29" i="8" s="1"/>
  <c r="P28" i="8"/>
  <c r="K28" i="8"/>
  <c r="H28" i="8"/>
  <c r="F28" i="8"/>
  <c r="Q28" i="8" s="1"/>
  <c r="P27" i="8"/>
  <c r="K27" i="8"/>
  <c r="H27" i="8"/>
  <c r="F27" i="8"/>
  <c r="Q27" i="8" s="1"/>
  <c r="P26" i="8"/>
  <c r="K26" i="8"/>
  <c r="H26" i="8"/>
  <c r="F26" i="8"/>
  <c r="Q26" i="8" s="1"/>
  <c r="P25" i="8"/>
  <c r="K25" i="8"/>
  <c r="H25" i="8"/>
  <c r="F25" i="8"/>
  <c r="Q25" i="8" s="1"/>
  <c r="P24" i="8"/>
  <c r="K24" i="8"/>
  <c r="H24" i="8"/>
  <c r="F24" i="8"/>
  <c r="Q24" i="8" s="1"/>
  <c r="P23" i="8"/>
  <c r="K23" i="8"/>
  <c r="H23" i="8"/>
  <c r="F23" i="8"/>
  <c r="Q23" i="8" s="1"/>
  <c r="P22" i="8"/>
  <c r="K22" i="8"/>
  <c r="H22" i="8"/>
  <c r="F22" i="8"/>
  <c r="P21" i="8"/>
  <c r="K21" i="8"/>
  <c r="H21" i="8"/>
  <c r="F21" i="8"/>
  <c r="Q21" i="8" s="1"/>
  <c r="P20" i="8"/>
  <c r="K20" i="8"/>
  <c r="H20" i="8"/>
  <c r="F20" i="8"/>
  <c r="Q20" i="8" s="1"/>
  <c r="P19" i="8"/>
  <c r="K19" i="8"/>
  <c r="H19" i="8"/>
  <c r="F19" i="8"/>
  <c r="Q19" i="8" s="1"/>
  <c r="P18" i="8"/>
  <c r="K18" i="8"/>
  <c r="H18" i="8"/>
  <c r="F18" i="8"/>
  <c r="Q18" i="8" s="1"/>
  <c r="P17" i="8"/>
  <c r="K17" i="8"/>
  <c r="H17" i="8"/>
  <c r="F17" i="8"/>
  <c r="Q17" i="8" s="1"/>
  <c r="P16" i="8"/>
  <c r="K16" i="8"/>
  <c r="H16" i="8"/>
  <c r="F16" i="8"/>
  <c r="Q16" i="8" s="1"/>
  <c r="P15" i="8"/>
  <c r="K15" i="8"/>
  <c r="H15" i="8"/>
  <c r="F15" i="8"/>
  <c r="Q15" i="8" s="1"/>
  <c r="P14" i="8"/>
  <c r="K14" i="8"/>
  <c r="H14" i="8"/>
  <c r="F14" i="8"/>
  <c r="Q14" i="8" s="1"/>
  <c r="P13" i="8"/>
  <c r="K13" i="8"/>
  <c r="H13" i="8"/>
  <c r="F13" i="8"/>
  <c r="Q13" i="8" s="1"/>
  <c r="P12" i="8"/>
  <c r="K12" i="8"/>
  <c r="H12" i="8"/>
  <c r="F12" i="8"/>
  <c r="Q12" i="8" s="1"/>
  <c r="P11" i="8"/>
  <c r="K11" i="8"/>
  <c r="H11" i="8"/>
  <c r="F11" i="8"/>
  <c r="Q11" i="8" s="1"/>
  <c r="P10" i="8"/>
  <c r="K10" i="8"/>
  <c r="H10" i="8"/>
  <c r="F10" i="8"/>
  <c r="Q10" i="8" s="1"/>
  <c r="P9" i="8"/>
  <c r="K9" i="8"/>
  <c r="H9" i="8"/>
  <c r="F9" i="8"/>
  <c r="Q9" i="8" s="1"/>
  <c r="P8" i="8"/>
  <c r="K8" i="8"/>
  <c r="H8" i="8"/>
  <c r="F8" i="8"/>
  <c r="Q8" i="8" s="1"/>
  <c r="P7" i="8"/>
  <c r="K7" i="8"/>
  <c r="H7" i="8"/>
  <c r="F7" i="8"/>
  <c r="Q7" i="8" s="1"/>
  <c r="P6" i="8"/>
  <c r="K6" i="8"/>
  <c r="H6" i="8"/>
  <c r="F6" i="8"/>
  <c r="Q6" i="8" s="1"/>
  <c r="P5" i="8"/>
  <c r="K5" i="8"/>
  <c r="H5" i="8"/>
  <c r="F5" i="8"/>
  <c r="Q5" i="8" s="1"/>
  <c r="P4" i="8"/>
  <c r="K4" i="8"/>
  <c r="H4" i="8"/>
  <c r="F4" i="8"/>
  <c r="Q4" i="8" s="1"/>
  <c r="P3" i="8"/>
  <c r="K3" i="8"/>
  <c r="H3" i="8"/>
  <c r="F3" i="8"/>
  <c r="Q3" i="8" s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3" i="1"/>
  <c r="G67" i="4"/>
  <c r="F67" i="3"/>
  <c r="F67" i="2"/>
  <c r="C16" i="5"/>
  <c r="C11" i="5"/>
  <c r="C8" i="5"/>
  <c r="C6" i="5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3" i="1"/>
  <c r="Q57" i="8" l="1"/>
  <c r="Q22" i="8"/>
</calcChain>
</file>

<file path=xl/sharedStrings.xml><?xml version="1.0" encoding="utf-8"?>
<sst xmlns="http://schemas.openxmlformats.org/spreadsheetml/2006/main" count="1154" uniqueCount="110">
  <si>
    <t>Sector</t>
  </si>
  <si>
    <t>Ticker1</t>
  </si>
  <si>
    <t>Ticker2</t>
  </si>
  <si>
    <t>RollingCorr</t>
  </si>
  <si>
    <t>ADF_pvalue</t>
  </si>
  <si>
    <t>TraceStat</t>
  </si>
  <si>
    <t>Crit_95</t>
  </si>
  <si>
    <t>Strength</t>
  </si>
  <si>
    <t>Eigenvector</t>
  </si>
  <si>
    <t>ADF_pvalue_1</t>
  </si>
  <si>
    <t>ADF_pvalue_2</t>
  </si>
  <si>
    <t>Midstream_Energy</t>
  </si>
  <si>
    <t>TRGP</t>
  </si>
  <si>
    <t>OKE</t>
  </si>
  <si>
    <t>[ 0.06792041 -0.01254157]</t>
  </si>
  <si>
    <t>KMI</t>
  </si>
  <si>
    <t>[ 0.08224774 -0.14773678]</t>
  </si>
  <si>
    <t>ET</t>
  </si>
  <si>
    <t>[ 0.09608236 -0.61537197]</t>
  </si>
  <si>
    <t>WMB</t>
  </si>
  <si>
    <t>[ 0.13090922 -0.44433867]</t>
  </si>
  <si>
    <t>[0.04875507 0.24966842]</t>
  </si>
  <si>
    <t>[ 0.0399885  -0.39426061]</t>
  </si>
  <si>
    <t>[ 0.01962293 -0.20207343]</t>
  </si>
  <si>
    <t>[0.00519607 0.34500959]</t>
  </si>
  <si>
    <t>[ 0.16845395 -0.24747365]</t>
  </si>
  <si>
    <t>[ 0.73910823 -0.45799696]</t>
  </si>
  <si>
    <t>Industrial_Automation</t>
  </si>
  <si>
    <t>ROK</t>
  </si>
  <si>
    <t>SIEGY</t>
  </si>
  <si>
    <t>[ 0.04936237 -0.28959968]</t>
  </si>
  <si>
    <t>ETN</t>
  </si>
  <si>
    <t>[ 0.08619156 -0.23346627]</t>
  </si>
  <si>
    <t>EMR</t>
  </si>
  <si>
    <t>[ 0.06441463 -0.27774819]</t>
  </si>
  <si>
    <t>[ 0.27525105 -0.12247125]</t>
  </si>
  <si>
    <t>[ 0.26125685 -0.18725341]</t>
  </si>
  <si>
    <t>[ 0.22364334 -0.35013469]</t>
  </si>
  <si>
    <t>Banks</t>
  </si>
  <si>
    <t>JPM</t>
  </si>
  <si>
    <t>C</t>
  </si>
  <si>
    <t>[ 0.08567503 -0.24411664]</t>
  </si>
  <si>
    <t>WFC</t>
  </si>
  <si>
    <t>[0.00102067 0.10623372]</t>
  </si>
  <si>
    <t>USB</t>
  </si>
  <si>
    <t>[ 0.07252334 -0.29977916]</t>
  </si>
  <si>
    <t>MS</t>
  </si>
  <si>
    <t>[ 0.03947355 -0.19289053]</t>
  </si>
  <si>
    <t>GS</t>
  </si>
  <si>
    <t>[ 0.00834465 -0.02991943]</t>
  </si>
  <si>
    <t>[ 0.1136628  -0.19086537]</t>
  </si>
  <si>
    <t>[ 0.2090392  -0.27898799]</t>
  </si>
  <si>
    <t>[ 0.38021691 -0.41845562]</t>
  </si>
  <si>
    <t>[ 0.2798581  -0.08159162]</t>
  </si>
  <si>
    <t>[ 0.28076103 -0.24857012]</t>
  </si>
  <si>
    <t>[ 0.220731   -0.16119477]</t>
  </si>
  <si>
    <t>[ 0.24876538 -0.05306604]</t>
  </si>
  <si>
    <t>[ 0.31666334 -0.25975763]</t>
  </si>
  <si>
    <t>[ 0.26800857 -0.05898761]</t>
  </si>
  <si>
    <t>[ 0.4452961  -0.11387311]</t>
  </si>
  <si>
    <t>Consumer_Staples</t>
  </si>
  <si>
    <t>PEP</t>
  </si>
  <si>
    <t>PG</t>
  </si>
  <si>
    <t>[ 0.15837022 -0.20195159]</t>
  </si>
  <si>
    <t>K</t>
  </si>
  <si>
    <t>[ 0.03749605 -0.19860479]</t>
  </si>
  <si>
    <t>SJM</t>
  </si>
  <si>
    <t>[ 0.02624283 -0.0771048 ]</t>
  </si>
  <si>
    <t>HSY</t>
  </si>
  <si>
    <t>[ 0.13410501 -0.13284021]</t>
  </si>
  <si>
    <t>GIS</t>
  </si>
  <si>
    <t>[ 0.03032551 -0.18476147]</t>
  </si>
  <si>
    <t>KO</t>
  </si>
  <si>
    <t>[ 0.22018441 -0.76320763]</t>
  </si>
  <si>
    <t>[ 0.0280497  -0.16413199]</t>
  </si>
  <si>
    <t>[0.000869   0.05459393]</t>
  </si>
  <si>
    <t>[ 0.26365842 -0.18658019]</t>
  </si>
  <si>
    <t>[ 0.0613104  -0.18932086]</t>
  </si>
  <si>
    <t>[ 0.18821036 -0.52665436]</t>
  </si>
  <si>
    <t>[ 0.36024136 -0.14783357]</t>
  </si>
  <si>
    <t>[ 0.18410576 -0.03246339]</t>
  </si>
  <si>
    <t>[ 0.32625351 -0.27206745]</t>
  </si>
  <si>
    <t>[ 0.18942541 -0.12363645]</t>
  </si>
  <si>
    <t>[ 0.05894596 -0.00422727]</t>
  </si>
  <si>
    <t>[ 0.1770437  -0.39047545]</t>
  </si>
  <si>
    <t>[ 0.06947658 -0.06141324]</t>
  </si>
  <si>
    <t>[ 0.03963005 -0.19731707]</t>
  </si>
  <si>
    <t>[ 0.13500576 -0.49839462]</t>
  </si>
  <si>
    <t>[ 0.18550013 -0.12822995]</t>
  </si>
  <si>
    <t>Healthcare_Equipment</t>
  </si>
  <si>
    <t>MDT</t>
  </si>
  <si>
    <t>SYK</t>
  </si>
  <si>
    <t>[ 0.15219055 -0.06043466]</t>
  </si>
  <si>
    <t>BSX</t>
  </si>
  <si>
    <t>[ 0.17353744 -0.28408164]</t>
  </si>
  <si>
    <t>DHR</t>
  </si>
  <si>
    <t>[ 0.11931711 -0.06057488]</t>
  </si>
  <si>
    <t>ZBH</t>
  </si>
  <si>
    <t>[ 0.18402148 -0.15072898]</t>
  </si>
  <si>
    <t>[ 0.13082706 -0.54697572]</t>
  </si>
  <si>
    <t>[ 0.11413323 -0.16646554]</t>
  </si>
  <si>
    <t>[ 0.03508423 -0.0803833 ]</t>
  </si>
  <si>
    <t>[ 0.36511901 -0.12303643]</t>
  </si>
  <si>
    <t>[ 0.15458744 -0.08425085]</t>
  </si>
  <si>
    <t>[ 0.04050029 -0.06982455]</t>
  </si>
  <si>
    <t>Correlation ≥ 0.60</t>
  </si>
  <si>
    <t>Non Stationary Individual Prices</t>
  </si>
  <si>
    <t>Stationary Regression Residuals</t>
  </si>
  <si>
    <t>Cointegrated by Johansen's Test</t>
  </si>
  <si>
    <t>Passed 3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</si>
</sst>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AEB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64"/>
  <sheetViews>
    <sheetView showGridLines="0" tabSelected="1" zoomScale="65" zoomScaleNormal="65" workbookViewId="0"/>
  </sheetViews>
  <sheetFormatPr baseColWidth="10" defaultColWidth="8.83203125" defaultRowHeight="15" x14ac:dyDescent="0.2"/>
  <cols>
    <col min="1" max="1" width="8.83203125" style="2" customWidth="1"/>
    <col min="2" max="2" width="18.6640625" style="2" bestFit="1" customWidth="1"/>
    <col min="3" max="4" width="6.83203125" style="2" customWidth="1"/>
    <col min="5" max="5" width="12.5" style="2" bestFit="1" customWidth="1"/>
    <col min="6" max="6" width="14.83203125" style="2" bestFit="1" customWidth="1"/>
    <col min="7" max="7" width="12.5" style="2" bestFit="1" customWidth="1"/>
    <col min="8" max="8" width="25.83203125" style="2" bestFit="1" customWidth="1"/>
    <col min="9" max="9" width="12.5" style="2" bestFit="1" customWidth="1"/>
    <col min="10" max="10" width="8.33203125" style="2" bestFit="1" customWidth="1"/>
    <col min="11" max="11" width="26.33203125" style="2" bestFit="1" customWidth="1"/>
    <col min="12" max="12" width="12.5" style="2" bestFit="1" customWidth="1"/>
    <col min="13" max="13" width="23.83203125" style="2" bestFit="1" customWidth="1"/>
    <col min="14" max="15" width="12.5" style="2" bestFit="1" customWidth="1"/>
    <col min="16" max="16" width="26" style="2" bestFit="1" customWidth="1"/>
    <col min="17" max="17" width="12.5" style="2" bestFit="1" customWidth="1"/>
    <col min="18" max="16384" width="8.83203125" style="2"/>
  </cols>
  <sheetData>
    <row r="2" spans="2: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105</v>
      </c>
      <c r="G2" s="1" t="s">
        <v>4</v>
      </c>
      <c r="H2" s="1" t="s">
        <v>107</v>
      </c>
      <c r="I2" s="1" t="s">
        <v>5</v>
      </c>
      <c r="J2" s="1" t="s">
        <v>6</v>
      </c>
      <c r="K2" s="1" t="s">
        <v>108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106</v>
      </c>
      <c r="Q2" s="5" t="s">
        <v>109</v>
      </c>
    </row>
    <row r="3" spans="2:17" x14ac:dyDescent="0.2">
      <c r="B3" s="3" t="s">
        <v>11</v>
      </c>
      <c r="C3" s="3" t="s">
        <v>17</v>
      </c>
      <c r="D3" s="3" t="s">
        <v>19</v>
      </c>
      <c r="E3" s="3">
        <v>0.70287088601642167</v>
      </c>
      <c r="F3" s="3" t="str">
        <f>IF(E3&gt;0.6,"TRUE","FALSE")</f>
        <v>TRUE</v>
      </c>
      <c r="G3" s="3">
        <v>1.5194485543117061E-2</v>
      </c>
      <c r="H3" s="3" t="str">
        <f>IF(G3&lt;0.05,"TRUE","FALSE")</f>
        <v>TRUE</v>
      </c>
      <c r="I3" s="3">
        <v>17.693074462728141</v>
      </c>
      <c r="J3" s="3">
        <v>15.494300000000001</v>
      </c>
      <c r="K3" s="3" t="str">
        <f>IF(I3&gt;J3,"TRUE","FALSE")</f>
        <v>TRUE</v>
      </c>
      <c r="L3" s="3">
        <v>1.141908602694419</v>
      </c>
      <c r="M3" s="3" t="s">
        <v>26</v>
      </c>
      <c r="N3" s="3">
        <v>0.31932383892139848</v>
      </c>
      <c r="O3" s="3">
        <v>0.21582544301800929</v>
      </c>
      <c r="P3" s="3" t="str">
        <f>IF(AND(N3&gt;0.05,O3&gt;0.05),"TRUE","FALSE")</f>
        <v>TRUE</v>
      </c>
      <c r="Q3" s="3" t="str">
        <f>IF(AND(F3="TRUE",H3="TRUE",K3="TRUE"),"TRUE","FALSE")</f>
        <v>TRUE</v>
      </c>
    </row>
    <row r="4" spans="2:17" x14ac:dyDescent="0.2">
      <c r="B4" s="4" t="s">
        <v>11</v>
      </c>
      <c r="C4" s="4" t="s">
        <v>12</v>
      </c>
      <c r="D4" s="4" t="s">
        <v>13</v>
      </c>
      <c r="E4" s="4">
        <v>0.72749768455155661</v>
      </c>
      <c r="F4" s="4" t="str">
        <f t="shared" ref="F4:F64" si="0">IF(E4&gt;0.6,"TRUE","FALSE")</f>
        <v>TRUE</v>
      </c>
      <c r="G4" s="4">
        <v>0.62429039628086713</v>
      </c>
      <c r="H4" s="4" t="str">
        <f t="shared" ref="H4:H64" si="1">IF(G4&lt;0.05,"TRUE","FALSE")</f>
        <v>FALSE</v>
      </c>
      <c r="I4" s="4">
        <v>6.6403248632597434</v>
      </c>
      <c r="J4" s="4">
        <v>15.494300000000001</v>
      </c>
      <c r="K4" s="4" t="str">
        <f t="shared" ref="K4:K64" si="2">IF(I4&gt;J4,"TRUE","FALSE")</f>
        <v>FALSE</v>
      </c>
      <c r="L4" s="4">
        <v>0.42856565725845908</v>
      </c>
      <c r="M4" s="4" t="s">
        <v>14</v>
      </c>
      <c r="N4" s="4">
        <v>0.3173217908674919</v>
      </c>
      <c r="O4" s="4">
        <v>0.84535796127387708</v>
      </c>
      <c r="P4" s="4" t="str">
        <f t="shared" ref="P4:P64" si="3">IF(AND(N4&gt;0.05,O4&gt;0.05),"TRUE","FALSE")</f>
        <v>TRUE</v>
      </c>
      <c r="Q4" s="4" t="str">
        <f t="shared" ref="Q4:Q64" si="4">IF(AND(F4="TRUE",H4="TRUE",K4="TRUE"),"TRUE","FALSE")</f>
        <v>FALSE</v>
      </c>
    </row>
    <row r="5" spans="2:17" x14ac:dyDescent="0.2">
      <c r="B5" s="4" t="s">
        <v>11</v>
      </c>
      <c r="C5" s="4" t="s">
        <v>12</v>
      </c>
      <c r="D5" s="4" t="s">
        <v>15</v>
      </c>
      <c r="E5" s="4">
        <v>0.42420970367010441</v>
      </c>
      <c r="F5" s="4" t="str">
        <f t="shared" si="0"/>
        <v>FALSE</v>
      </c>
      <c r="G5" s="4">
        <v>0.35709247531911148</v>
      </c>
      <c r="H5" s="4" t="str">
        <f t="shared" si="1"/>
        <v>FALSE</v>
      </c>
      <c r="I5" s="4">
        <v>6.3509400549049086</v>
      </c>
      <c r="J5" s="4">
        <v>15.494300000000001</v>
      </c>
      <c r="K5" s="4" t="str">
        <f t="shared" si="2"/>
        <v>FALSE</v>
      </c>
      <c r="L5" s="4">
        <v>0.40988880135952632</v>
      </c>
      <c r="M5" s="4" t="s">
        <v>16</v>
      </c>
      <c r="N5" s="4">
        <v>0.34958102918731732</v>
      </c>
      <c r="O5" s="4">
        <v>0.54307138687575995</v>
      </c>
      <c r="P5" s="4" t="str">
        <f t="shared" si="3"/>
        <v>TRUE</v>
      </c>
      <c r="Q5" s="4" t="str">
        <f t="shared" si="4"/>
        <v>FALSE</v>
      </c>
    </row>
    <row r="6" spans="2:17" x14ac:dyDescent="0.2">
      <c r="B6" s="4" t="s">
        <v>11</v>
      </c>
      <c r="C6" s="4" t="s">
        <v>12</v>
      </c>
      <c r="D6" s="4" t="s">
        <v>17</v>
      </c>
      <c r="E6" s="4">
        <v>0.71728015041918947</v>
      </c>
      <c r="F6" s="4" t="str">
        <f t="shared" si="0"/>
        <v>TRUE</v>
      </c>
      <c r="G6" s="4">
        <v>0.35771167467376941</v>
      </c>
      <c r="H6" s="4" t="str">
        <f t="shared" si="1"/>
        <v>FALSE</v>
      </c>
      <c r="I6" s="4">
        <v>20.52401584368673</v>
      </c>
      <c r="J6" s="4">
        <v>15.494300000000001</v>
      </c>
      <c r="K6" s="4" t="str">
        <f t="shared" si="2"/>
        <v>TRUE</v>
      </c>
      <c r="L6" s="4">
        <v>1.324617171713903</v>
      </c>
      <c r="M6" s="4" t="s">
        <v>18</v>
      </c>
      <c r="N6" s="4">
        <v>0.31732174549165759</v>
      </c>
      <c r="O6" s="4">
        <v>0.32838241552466951</v>
      </c>
      <c r="P6" s="4" t="str">
        <f t="shared" si="3"/>
        <v>TRUE</v>
      </c>
      <c r="Q6" s="4" t="str">
        <f t="shared" si="4"/>
        <v>FALSE</v>
      </c>
    </row>
    <row r="7" spans="2:17" x14ac:dyDescent="0.2">
      <c r="B7" s="4" t="s">
        <v>11</v>
      </c>
      <c r="C7" s="4" t="s">
        <v>12</v>
      </c>
      <c r="D7" s="4" t="s">
        <v>19</v>
      </c>
      <c r="E7" s="4">
        <v>0.64072722207081034</v>
      </c>
      <c r="F7" s="4" t="str">
        <f t="shared" si="0"/>
        <v>TRUE</v>
      </c>
      <c r="G7" s="4">
        <v>7.2157364291649442E-2</v>
      </c>
      <c r="H7" s="4" t="str">
        <f t="shared" si="1"/>
        <v>FALSE</v>
      </c>
      <c r="I7" s="4">
        <v>30.276986545184219</v>
      </c>
      <c r="J7" s="4">
        <v>15.494300000000001</v>
      </c>
      <c r="K7" s="4" t="str">
        <f t="shared" si="2"/>
        <v>TRUE</v>
      </c>
      <c r="L7" s="4">
        <v>1.9540725650842059</v>
      </c>
      <c r="M7" s="4" t="s">
        <v>20</v>
      </c>
      <c r="N7" s="4">
        <v>0.31732186614194891</v>
      </c>
      <c r="O7" s="4">
        <v>0.21947609104270929</v>
      </c>
      <c r="P7" s="4" t="str">
        <f t="shared" si="3"/>
        <v>TRUE</v>
      </c>
      <c r="Q7" s="4" t="str">
        <f t="shared" si="4"/>
        <v>FALSE</v>
      </c>
    </row>
    <row r="8" spans="2:17" x14ac:dyDescent="0.2">
      <c r="B8" s="4" t="s">
        <v>11</v>
      </c>
      <c r="C8" s="4" t="s">
        <v>13</v>
      </c>
      <c r="D8" s="4" t="s">
        <v>15</v>
      </c>
      <c r="E8" s="4">
        <v>0.30862349718332038</v>
      </c>
      <c r="F8" s="4" t="str">
        <f t="shared" si="0"/>
        <v>FALSE</v>
      </c>
      <c r="G8" s="4">
        <v>0.7575530651481398</v>
      </c>
      <c r="H8" s="4" t="str">
        <f t="shared" si="1"/>
        <v>FALSE</v>
      </c>
      <c r="I8" s="4">
        <v>10.678160777180929</v>
      </c>
      <c r="J8" s="4">
        <v>15.494300000000001</v>
      </c>
      <c r="K8" s="4" t="str">
        <f t="shared" si="2"/>
        <v>FALSE</v>
      </c>
      <c r="L8" s="4">
        <v>0.6891670341468108</v>
      </c>
      <c r="M8" s="4" t="s">
        <v>21</v>
      </c>
      <c r="N8" s="4">
        <v>0.90136916486772134</v>
      </c>
      <c r="O8" s="4">
        <v>0.54307129766617723</v>
      </c>
      <c r="P8" s="4" t="str">
        <f t="shared" si="3"/>
        <v>TRUE</v>
      </c>
      <c r="Q8" s="4" t="str">
        <f t="shared" si="4"/>
        <v>FALSE</v>
      </c>
    </row>
    <row r="9" spans="2:17" x14ac:dyDescent="0.2">
      <c r="B9" s="4" t="s">
        <v>11</v>
      </c>
      <c r="C9" s="4" t="s">
        <v>13</v>
      </c>
      <c r="D9" s="4" t="s">
        <v>17</v>
      </c>
      <c r="E9" s="4">
        <v>0.56210058301480115</v>
      </c>
      <c r="F9" s="4" t="str">
        <f t="shared" si="0"/>
        <v>FALSE</v>
      </c>
      <c r="G9" s="4">
        <v>0.96465219762700027</v>
      </c>
      <c r="H9" s="4" t="str">
        <f t="shared" si="1"/>
        <v>FALSE</v>
      </c>
      <c r="I9" s="4">
        <v>9.5410349446592715</v>
      </c>
      <c r="J9" s="4">
        <v>15.494300000000001</v>
      </c>
      <c r="K9" s="4" t="str">
        <f t="shared" si="2"/>
        <v>FALSE</v>
      </c>
      <c r="L9" s="4">
        <v>0.61577708864932723</v>
      </c>
      <c r="M9" s="4" t="s">
        <v>22</v>
      </c>
      <c r="N9" s="4">
        <v>0.85042357981886141</v>
      </c>
      <c r="O9" s="4">
        <v>0.31932363026572352</v>
      </c>
      <c r="P9" s="4" t="str">
        <f t="shared" si="3"/>
        <v>TRUE</v>
      </c>
      <c r="Q9" s="4" t="str">
        <f t="shared" si="4"/>
        <v>FALSE</v>
      </c>
    </row>
    <row r="10" spans="2:17" x14ac:dyDescent="0.2">
      <c r="B10" s="4" t="s">
        <v>11</v>
      </c>
      <c r="C10" s="4" t="s">
        <v>13</v>
      </c>
      <c r="D10" s="4" t="s">
        <v>19</v>
      </c>
      <c r="E10" s="4">
        <v>0.6110558099619432</v>
      </c>
      <c r="F10" s="4" t="str">
        <f t="shared" si="0"/>
        <v>TRUE</v>
      </c>
      <c r="G10" s="4">
        <v>0.97909985899691887</v>
      </c>
      <c r="H10" s="4" t="str">
        <f t="shared" si="1"/>
        <v>FALSE</v>
      </c>
      <c r="I10" s="4">
        <v>12.6254916304062</v>
      </c>
      <c r="J10" s="4">
        <v>15.494300000000001</v>
      </c>
      <c r="K10" s="4" t="str">
        <f t="shared" si="2"/>
        <v>FALSE</v>
      </c>
      <c r="L10" s="4">
        <v>0.81484750072001932</v>
      </c>
      <c r="M10" s="4" t="s">
        <v>23</v>
      </c>
      <c r="N10" s="4">
        <v>0.8504236925828208</v>
      </c>
      <c r="O10" s="4">
        <v>0.21582542877548139</v>
      </c>
      <c r="P10" s="4" t="str">
        <f t="shared" si="3"/>
        <v>TRUE</v>
      </c>
      <c r="Q10" s="4" t="str">
        <f t="shared" si="4"/>
        <v>FALSE</v>
      </c>
    </row>
    <row r="11" spans="2:17" x14ac:dyDescent="0.2">
      <c r="B11" s="4" t="s">
        <v>11</v>
      </c>
      <c r="C11" s="4" t="s">
        <v>15</v>
      </c>
      <c r="D11" s="4" t="s">
        <v>17</v>
      </c>
      <c r="E11" s="4">
        <v>0.5250660782914589</v>
      </c>
      <c r="F11" s="4" t="str">
        <f t="shared" si="0"/>
        <v>FALSE</v>
      </c>
      <c r="G11" s="4">
        <v>0.59810242889079934</v>
      </c>
      <c r="H11" s="4" t="str">
        <f t="shared" si="1"/>
        <v>FALSE</v>
      </c>
      <c r="I11" s="4">
        <v>7.870858334406333</v>
      </c>
      <c r="J11" s="4">
        <v>15.494300000000001</v>
      </c>
      <c r="K11" s="4" t="str">
        <f t="shared" si="2"/>
        <v>FALSE</v>
      </c>
      <c r="L11" s="4">
        <v>0.50798411896028428</v>
      </c>
      <c r="M11" s="4" t="s">
        <v>24</v>
      </c>
      <c r="N11" s="4">
        <v>0.54307099640537337</v>
      </c>
      <c r="O11" s="4">
        <v>0.31996669391535448</v>
      </c>
      <c r="P11" s="4" t="str">
        <f t="shared" si="3"/>
        <v>TRUE</v>
      </c>
      <c r="Q11" s="4" t="str">
        <f t="shared" si="4"/>
        <v>FALSE</v>
      </c>
    </row>
    <row r="12" spans="2:17" x14ac:dyDescent="0.2">
      <c r="B12" s="4" t="s">
        <v>11</v>
      </c>
      <c r="C12" s="4" t="s">
        <v>15</v>
      </c>
      <c r="D12" s="4" t="s">
        <v>19</v>
      </c>
      <c r="E12" s="4">
        <v>0.50853885084984307</v>
      </c>
      <c r="F12" s="4" t="str">
        <f t="shared" si="0"/>
        <v>FALSE</v>
      </c>
      <c r="G12" s="4">
        <v>0.39722239752149402</v>
      </c>
      <c r="H12" s="4" t="str">
        <f t="shared" si="1"/>
        <v>FALSE</v>
      </c>
      <c r="I12" s="4">
        <v>11.773873520418361</v>
      </c>
      <c r="J12" s="4">
        <v>15.494300000000001</v>
      </c>
      <c r="K12" s="4" t="str">
        <f t="shared" si="2"/>
        <v>FALSE</v>
      </c>
      <c r="L12" s="4">
        <v>0.75988418453356155</v>
      </c>
      <c r="M12" s="4" t="s">
        <v>25</v>
      </c>
      <c r="N12" s="4">
        <v>0.54307201703652463</v>
      </c>
      <c r="O12" s="4">
        <v>0.27090045218067482</v>
      </c>
      <c r="P12" s="4" t="str">
        <f t="shared" si="3"/>
        <v>TRUE</v>
      </c>
      <c r="Q12" s="4" t="str">
        <f t="shared" si="4"/>
        <v>FALSE</v>
      </c>
    </row>
    <row r="13" spans="2:17" x14ac:dyDescent="0.2">
      <c r="B13" s="4" t="s">
        <v>27</v>
      </c>
      <c r="C13" s="4" t="s">
        <v>28</v>
      </c>
      <c r="D13" s="4" t="s">
        <v>29</v>
      </c>
      <c r="E13" s="4">
        <v>0.68090445775140118</v>
      </c>
      <c r="F13" s="4" t="str">
        <f t="shared" si="0"/>
        <v>TRUE</v>
      </c>
      <c r="G13" s="4">
        <v>8.3521356467687158E-2</v>
      </c>
      <c r="H13" s="4" t="str">
        <f t="shared" si="1"/>
        <v>FALSE</v>
      </c>
      <c r="I13" s="4">
        <v>9.8731980554913878</v>
      </c>
      <c r="J13" s="4">
        <v>15.494300000000001</v>
      </c>
      <c r="K13" s="4" t="str">
        <f t="shared" si="2"/>
        <v>FALSE</v>
      </c>
      <c r="L13" s="4">
        <v>0.63721485033150171</v>
      </c>
      <c r="M13" s="4" t="s">
        <v>30</v>
      </c>
      <c r="N13" s="4">
        <v>0.78923928616236816</v>
      </c>
      <c r="O13" s="4">
        <v>0.39769452793513588</v>
      </c>
      <c r="P13" s="4" t="str">
        <f t="shared" si="3"/>
        <v>TRUE</v>
      </c>
      <c r="Q13" s="4" t="str">
        <f t="shared" si="4"/>
        <v>FALSE</v>
      </c>
    </row>
    <row r="14" spans="2:17" x14ac:dyDescent="0.2">
      <c r="B14" s="4" t="s">
        <v>27</v>
      </c>
      <c r="C14" s="4" t="s">
        <v>28</v>
      </c>
      <c r="D14" s="4" t="s">
        <v>31</v>
      </c>
      <c r="E14" s="4">
        <v>0.83744841818422311</v>
      </c>
      <c r="F14" s="4" t="str">
        <f t="shared" si="0"/>
        <v>TRUE</v>
      </c>
      <c r="G14" s="4">
        <v>0.1088658253601836</v>
      </c>
      <c r="H14" s="4" t="str">
        <f t="shared" si="1"/>
        <v>FALSE</v>
      </c>
      <c r="I14" s="4">
        <v>7.3854599333237738</v>
      </c>
      <c r="J14" s="4">
        <v>15.494300000000001</v>
      </c>
      <c r="K14" s="4" t="str">
        <f t="shared" si="2"/>
        <v>FALSE</v>
      </c>
      <c r="L14" s="4">
        <v>0.47665657263146921</v>
      </c>
      <c r="M14" s="4" t="s">
        <v>32</v>
      </c>
      <c r="N14" s="4">
        <v>0.78923928616236816</v>
      </c>
      <c r="O14" s="4">
        <v>0.86537361118167189</v>
      </c>
      <c r="P14" s="4" t="str">
        <f t="shared" si="3"/>
        <v>TRUE</v>
      </c>
      <c r="Q14" s="4" t="str">
        <f t="shared" si="4"/>
        <v>FALSE</v>
      </c>
    </row>
    <row r="15" spans="2:17" x14ac:dyDescent="0.2">
      <c r="B15" s="4" t="s">
        <v>27</v>
      </c>
      <c r="C15" s="4" t="s">
        <v>28</v>
      </c>
      <c r="D15" s="4" t="s">
        <v>33</v>
      </c>
      <c r="E15" s="4">
        <v>0.75889808026311867</v>
      </c>
      <c r="F15" s="4" t="str">
        <f t="shared" si="0"/>
        <v>TRUE</v>
      </c>
      <c r="G15" s="4">
        <v>9.4827093997616907E-2</v>
      </c>
      <c r="H15" s="4" t="str">
        <f t="shared" si="1"/>
        <v>FALSE</v>
      </c>
      <c r="I15" s="4">
        <v>9.1581054413821565</v>
      </c>
      <c r="J15" s="4">
        <v>15.494300000000001</v>
      </c>
      <c r="K15" s="4" t="str">
        <f t="shared" si="2"/>
        <v>FALSE</v>
      </c>
      <c r="L15" s="4">
        <v>0.59106287095139221</v>
      </c>
      <c r="M15" s="4" t="s">
        <v>34</v>
      </c>
      <c r="N15" s="4">
        <v>0.78923900720206452</v>
      </c>
      <c r="O15" s="4">
        <v>0.6770574608229496</v>
      </c>
      <c r="P15" s="4" t="str">
        <f t="shared" si="3"/>
        <v>TRUE</v>
      </c>
      <c r="Q15" s="4" t="str">
        <f t="shared" si="4"/>
        <v>FALSE</v>
      </c>
    </row>
    <row r="16" spans="2:17" x14ac:dyDescent="0.2">
      <c r="B16" s="4" t="s">
        <v>27</v>
      </c>
      <c r="C16" s="4" t="s">
        <v>29</v>
      </c>
      <c r="D16" s="4" t="s">
        <v>31</v>
      </c>
      <c r="E16" s="4">
        <v>0.7211459158271506</v>
      </c>
      <c r="F16" s="4" t="str">
        <f t="shared" si="0"/>
        <v>TRUE</v>
      </c>
      <c r="G16" s="4">
        <v>5.647033247690695E-2</v>
      </c>
      <c r="H16" s="4" t="str">
        <f t="shared" si="1"/>
        <v>FALSE</v>
      </c>
      <c r="I16" s="4">
        <v>8.0674922386898817</v>
      </c>
      <c r="J16" s="4">
        <v>15.494300000000001</v>
      </c>
      <c r="K16" s="4" t="str">
        <f t="shared" si="2"/>
        <v>FALSE</v>
      </c>
      <c r="L16" s="4">
        <v>0.52067484421302557</v>
      </c>
      <c r="M16" s="4" t="s">
        <v>35</v>
      </c>
      <c r="N16" s="4">
        <v>0.39769455002440762</v>
      </c>
      <c r="O16" s="4">
        <v>0.86537380617330817</v>
      </c>
      <c r="P16" s="4" t="str">
        <f t="shared" si="3"/>
        <v>TRUE</v>
      </c>
      <c r="Q16" s="4" t="str">
        <f t="shared" si="4"/>
        <v>FALSE</v>
      </c>
    </row>
    <row r="17" spans="2:17" x14ac:dyDescent="0.2">
      <c r="B17" s="4" t="s">
        <v>27</v>
      </c>
      <c r="C17" s="4" t="s">
        <v>29</v>
      </c>
      <c r="D17" s="4" t="s">
        <v>33</v>
      </c>
      <c r="E17" s="4">
        <v>0.68898723704133247</v>
      </c>
      <c r="F17" s="4" t="str">
        <f t="shared" si="0"/>
        <v>TRUE</v>
      </c>
      <c r="G17" s="4">
        <v>4.9738497768409232E-2</v>
      </c>
      <c r="H17" s="4" t="str">
        <f t="shared" si="1"/>
        <v>TRUE</v>
      </c>
      <c r="I17" s="4">
        <v>9.0650797921892696</v>
      </c>
      <c r="J17" s="4">
        <v>15.494300000000001</v>
      </c>
      <c r="K17" s="4" t="str">
        <f t="shared" si="2"/>
        <v>FALSE</v>
      </c>
      <c r="L17" s="4">
        <v>0.58505900829267987</v>
      </c>
      <c r="M17" s="4" t="s">
        <v>36</v>
      </c>
      <c r="N17" s="4">
        <v>0.39769408026874481</v>
      </c>
      <c r="O17" s="4">
        <v>0.67705675373784224</v>
      </c>
      <c r="P17" s="4" t="str">
        <f t="shared" si="3"/>
        <v>TRUE</v>
      </c>
      <c r="Q17" s="4" t="str">
        <f t="shared" si="4"/>
        <v>FALSE</v>
      </c>
    </row>
    <row r="18" spans="2:17" x14ac:dyDescent="0.2">
      <c r="B18" s="4" t="s">
        <v>27</v>
      </c>
      <c r="C18" s="4" t="s">
        <v>31</v>
      </c>
      <c r="D18" s="4" t="s">
        <v>33</v>
      </c>
      <c r="E18" s="4">
        <v>0.82568931883903474</v>
      </c>
      <c r="F18" s="4" t="str">
        <f t="shared" si="0"/>
        <v>TRUE</v>
      </c>
      <c r="G18" s="4">
        <v>5.3229809755071852E-3</v>
      </c>
      <c r="H18" s="4" t="str">
        <f t="shared" si="1"/>
        <v>TRUE</v>
      </c>
      <c r="I18" s="4">
        <v>13.654984867311249</v>
      </c>
      <c r="J18" s="4">
        <v>15.494300000000001</v>
      </c>
      <c r="K18" s="4" t="str">
        <f t="shared" si="2"/>
        <v>FALSE</v>
      </c>
      <c r="L18" s="4">
        <v>0.88129085323707756</v>
      </c>
      <c r="M18" s="4" t="s">
        <v>37</v>
      </c>
      <c r="N18" s="4">
        <v>0.86537398864997062</v>
      </c>
      <c r="O18" s="4">
        <v>0.67705778127550109</v>
      </c>
      <c r="P18" s="4" t="str">
        <f t="shared" si="3"/>
        <v>TRUE</v>
      </c>
      <c r="Q18" s="4" t="str">
        <f t="shared" si="4"/>
        <v>FALSE</v>
      </c>
    </row>
    <row r="19" spans="2:17" x14ac:dyDescent="0.2">
      <c r="B19" s="4" t="s">
        <v>38</v>
      </c>
      <c r="C19" s="4" t="s">
        <v>39</v>
      </c>
      <c r="D19" s="4" t="s">
        <v>40</v>
      </c>
      <c r="E19" s="4">
        <v>0.8056668665121649</v>
      </c>
      <c r="F19" s="4" t="str">
        <f t="shared" si="0"/>
        <v>TRUE</v>
      </c>
      <c r="G19" s="4">
        <v>0.16346046169797401</v>
      </c>
      <c r="H19" s="4" t="str">
        <f t="shared" si="1"/>
        <v>FALSE</v>
      </c>
      <c r="I19" s="4">
        <v>10.038340648284979</v>
      </c>
      <c r="J19" s="4">
        <v>15.494300000000001</v>
      </c>
      <c r="K19" s="4" t="str">
        <f t="shared" si="2"/>
        <v>FALSE</v>
      </c>
      <c r="L19" s="4">
        <v>0.64787313065352903</v>
      </c>
      <c r="M19" s="4" t="s">
        <v>41</v>
      </c>
      <c r="N19" s="4">
        <v>0.98960362754925191</v>
      </c>
      <c r="O19" s="4">
        <v>0.8133624038053725</v>
      </c>
      <c r="P19" s="4" t="str">
        <f t="shared" si="3"/>
        <v>TRUE</v>
      </c>
      <c r="Q19" s="4" t="str">
        <f t="shared" si="4"/>
        <v>FALSE</v>
      </c>
    </row>
    <row r="20" spans="2:17" x14ac:dyDescent="0.2">
      <c r="B20" s="4" t="s">
        <v>38</v>
      </c>
      <c r="C20" s="4" t="s">
        <v>39</v>
      </c>
      <c r="D20" s="4" t="s">
        <v>42</v>
      </c>
      <c r="E20" s="4">
        <v>0.7229826541268668</v>
      </c>
      <c r="F20" s="4" t="str">
        <f t="shared" si="0"/>
        <v>TRUE</v>
      </c>
      <c r="G20" s="4">
        <v>0.95942140167403345</v>
      </c>
      <c r="H20" s="4" t="str">
        <f t="shared" si="1"/>
        <v>FALSE</v>
      </c>
      <c r="I20" s="4">
        <v>7.9021033135501311</v>
      </c>
      <c r="J20" s="4">
        <v>15.494300000000001</v>
      </c>
      <c r="K20" s="4" t="str">
        <f t="shared" si="2"/>
        <v>FALSE</v>
      </c>
      <c r="L20" s="4">
        <v>0.51000066563511293</v>
      </c>
      <c r="M20" s="4" t="s">
        <v>43</v>
      </c>
      <c r="N20" s="4">
        <v>0.98960365572959685</v>
      </c>
      <c r="O20" s="4">
        <v>0.53809298910216097</v>
      </c>
      <c r="P20" s="4" t="str">
        <f t="shared" si="3"/>
        <v>TRUE</v>
      </c>
      <c r="Q20" s="4" t="str">
        <f t="shared" si="4"/>
        <v>FALSE</v>
      </c>
    </row>
    <row r="21" spans="2:17" x14ac:dyDescent="0.2">
      <c r="B21" s="4" t="s">
        <v>38</v>
      </c>
      <c r="C21" s="4" t="s">
        <v>39</v>
      </c>
      <c r="D21" s="4" t="s">
        <v>44</v>
      </c>
      <c r="E21" s="4">
        <v>0.73475390211723202</v>
      </c>
      <c r="F21" s="4" t="str">
        <f t="shared" si="0"/>
        <v>TRUE</v>
      </c>
      <c r="G21" s="4">
        <v>0.51408747313077052</v>
      </c>
      <c r="H21" s="4" t="str">
        <f t="shared" si="1"/>
        <v>FALSE</v>
      </c>
      <c r="I21" s="4">
        <v>8.0973171540470776</v>
      </c>
      <c r="J21" s="4">
        <v>15.494300000000001</v>
      </c>
      <c r="K21" s="4" t="str">
        <f t="shared" si="2"/>
        <v>FALSE</v>
      </c>
      <c r="L21" s="4">
        <v>0.52259974016554978</v>
      </c>
      <c r="M21" s="4" t="s">
        <v>45</v>
      </c>
      <c r="N21" s="4">
        <v>0.98960360401549141</v>
      </c>
      <c r="O21" s="4">
        <v>0.84472784896823871</v>
      </c>
      <c r="P21" s="4" t="str">
        <f t="shared" si="3"/>
        <v>TRUE</v>
      </c>
      <c r="Q21" s="4" t="str">
        <f t="shared" si="4"/>
        <v>FALSE</v>
      </c>
    </row>
    <row r="22" spans="2:17" x14ac:dyDescent="0.2">
      <c r="B22" s="4" t="s">
        <v>38</v>
      </c>
      <c r="C22" s="4" t="s">
        <v>39</v>
      </c>
      <c r="D22" s="4" t="s">
        <v>46</v>
      </c>
      <c r="E22" s="4">
        <v>0.82503963374949996</v>
      </c>
      <c r="F22" s="4" t="str">
        <f t="shared" si="0"/>
        <v>TRUE</v>
      </c>
      <c r="G22" s="4">
        <v>0.77435136541870753</v>
      </c>
      <c r="H22" s="4" t="str">
        <f t="shared" si="1"/>
        <v>FALSE</v>
      </c>
      <c r="I22" s="4">
        <v>5.2008862470897181</v>
      </c>
      <c r="J22" s="4">
        <v>15.494300000000001</v>
      </c>
      <c r="K22" s="4" t="str">
        <f t="shared" si="2"/>
        <v>FALSE</v>
      </c>
      <c r="L22" s="4">
        <v>0.33566448610713079</v>
      </c>
      <c r="M22" s="4" t="s">
        <v>47</v>
      </c>
      <c r="N22" s="4">
        <v>0.9896036406555504</v>
      </c>
      <c r="O22" s="4">
        <v>0.85092829897121525</v>
      </c>
      <c r="P22" s="4" t="str">
        <f t="shared" si="3"/>
        <v>TRUE</v>
      </c>
      <c r="Q22" s="4" t="str">
        <f t="shared" si="4"/>
        <v>FALSE</v>
      </c>
    </row>
    <row r="23" spans="2:17" x14ac:dyDescent="0.2">
      <c r="B23" s="4" t="s">
        <v>38</v>
      </c>
      <c r="C23" s="4" t="s">
        <v>39</v>
      </c>
      <c r="D23" s="4" t="s">
        <v>48</v>
      </c>
      <c r="E23" s="4">
        <v>0.81780025994967664</v>
      </c>
      <c r="F23" s="4" t="str">
        <f t="shared" si="0"/>
        <v>TRUE</v>
      </c>
      <c r="G23" s="4">
        <v>0.87948256924485912</v>
      </c>
      <c r="H23" s="4" t="str">
        <f t="shared" si="1"/>
        <v>FALSE</v>
      </c>
      <c r="I23" s="4">
        <v>6.5736097188213538</v>
      </c>
      <c r="J23" s="4">
        <v>15.494300000000001</v>
      </c>
      <c r="K23" s="4" t="str">
        <f t="shared" si="2"/>
        <v>FALSE</v>
      </c>
      <c r="L23" s="4">
        <v>0.42425987097328388</v>
      </c>
      <c r="M23" s="4" t="s">
        <v>49</v>
      </c>
      <c r="N23" s="4">
        <v>0.98960357634936147</v>
      </c>
      <c r="O23" s="4">
        <v>0.69891922551425889</v>
      </c>
      <c r="P23" s="4" t="str">
        <f t="shared" si="3"/>
        <v>TRUE</v>
      </c>
      <c r="Q23" s="4" t="str">
        <f t="shared" si="4"/>
        <v>FALSE</v>
      </c>
    </row>
    <row r="24" spans="2:17" x14ac:dyDescent="0.2">
      <c r="B24" s="4" t="s">
        <v>38</v>
      </c>
      <c r="C24" s="4" t="s">
        <v>40</v>
      </c>
      <c r="D24" s="4" t="s">
        <v>42</v>
      </c>
      <c r="E24" s="4">
        <v>0.62094925286709879</v>
      </c>
      <c r="F24" s="4" t="str">
        <f t="shared" si="0"/>
        <v>TRUE</v>
      </c>
      <c r="G24" s="4">
        <v>0.42453968510540968</v>
      </c>
      <c r="H24" s="4" t="str">
        <f t="shared" si="1"/>
        <v>FALSE</v>
      </c>
      <c r="I24" s="4">
        <v>6.5181340940934387</v>
      </c>
      <c r="J24" s="4">
        <v>15.494300000000001</v>
      </c>
      <c r="K24" s="4" t="str">
        <f t="shared" si="2"/>
        <v>FALSE</v>
      </c>
      <c r="L24" s="4">
        <v>0.42067948175093017</v>
      </c>
      <c r="M24" s="4" t="s">
        <v>50</v>
      </c>
      <c r="N24" s="4">
        <v>0.81336280068982858</v>
      </c>
      <c r="O24" s="4">
        <v>0.53809279647730968</v>
      </c>
      <c r="P24" s="4" t="str">
        <f t="shared" si="3"/>
        <v>TRUE</v>
      </c>
      <c r="Q24" s="4" t="str">
        <f t="shared" si="4"/>
        <v>FALSE</v>
      </c>
    </row>
    <row r="25" spans="2:17" x14ac:dyDescent="0.2">
      <c r="B25" s="4" t="s">
        <v>38</v>
      </c>
      <c r="C25" s="4" t="s">
        <v>40</v>
      </c>
      <c r="D25" s="4" t="s">
        <v>44</v>
      </c>
      <c r="E25" s="4">
        <v>0.60778074021588169</v>
      </c>
      <c r="F25" s="4" t="str">
        <f t="shared" si="0"/>
        <v>TRUE</v>
      </c>
      <c r="G25" s="4">
        <v>8.0754587199792727E-2</v>
      </c>
      <c r="H25" s="4" t="str">
        <f t="shared" si="1"/>
        <v>FALSE</v>
      </c>
      <c r="I25" s="4">
        <v>8.4092122776626823</v>
      </c>
      <c r="J25" s="4">
        <v>15.494300000000001</v>
      </c>
      <c r="K25" s="4" t="str">
        <f t="shared" si="2"/>
        <v>FALSE</v>
      </c>
      <c r="L25" s="4">
        <v>0.54272940872854414</v>
      </c>
      <c r="M25" s="4" t="s">
        <v>51</v>
      </c>
      <c r="N25" s="4">
        <v>0.81336303968557266</v>
      </c>
      <c r="O25" s="4">
        <v>0.84472784345360441</v>
      </c>
      <c r="P25" s="4" t="str">
        <f t="shared" si="3"/>
        <v>TRUE</v>
      </c>
      <c r="Q25" s="4" t="str">
        <f t="shared" si="4"/>
        <v>FALSE</v>
      </c>
    </row>
    <row r="26" spans="2:17" x14ac:dyDescent="0.2">
      <c r="B26" s="4" t="s">
        <v>38</v>
      </c>
      <c r="C26" s="4" t="s">
        <v>40</v>
      </c>
      <c r="D26" s="4" t="s">
        <v>46</v>
      </c>
      <c r="E26" s="4">
        <v>0.81284964549124616</v>
      </c>
      <c r="F26" s="4" t="str">
        <f t="shared" si="0"/>
        <v>TRUE</v>
      </c>
      <c r="G26" s="4">
        <v>2.3239007170926099E-2</v>
      </c>
      <c r="H26" s="4" t="str">
        <f t="shared" si="1"/>
        <v>TRUE</v>
      </c>
      <c r="I26" s="4">
        <v>10.840417969111151</v>
      </c>
      <c r="J26" s="4">
        <v>15.494300000000001</v>
      </c>
      <c r="K26" s="4" t="str">
        <f t="shared" si="2"/>
        <v>FALSE</v>
      </c>
      <c r="L26" s="4">
        <v>0.69963909109228206</v>
      </c>
      <c r="M26" s="4" t="s">
        <v>52</v>
      </c>
      <c r="N26" s="4">
        <v>0.81336280068982858</v>
      </c>
      <c r="O26" s="4">
        <v>0.85092835111049225</v>
      </c>
      <c r="P26" s="4" t="str">
        <f t="shared" si="3"/>
        <v>TRUE</v>
      </c>
      <c r="Q26" s="4" t="str">
        <f t="shared" si="4"/>
        <v>FALSE</v>
      </c>
    </row>
    <row r="27" spans="2:17" x14ac:dyDescent="0.2">
      <c r="B27" s="4" t="s">
        <v>38</v>
      </c>
      <c r="C27" s="4" t="s">
        <v>40</v>
      </c>
      <c r="D27" s="4" t="s">
        <v>48</v>
      </c>
      <c r="E27" s="4">
        <v>0.85697623947330603</v>
      </c>
      <c r="F27" s="4" t="str">
        <f t="shared" si="0"/>
        <v>TRUE</v>
      </c>
      <c r="G27" s="4">
        <v>0.28558265165915969</v>
      </c>
      <c r="H27" s="4" t="str">
        <f t="shared" si="1"/>
        <v>FALSE</v>
      </c>
      <c r="I27" s="4">
        <v>6.3598566774494172</v>
      </c>
      <c r="J27" s="4">
        <v>15.494300000000001</v>
      </c>
      <c r="K27" s="4" t="str">
        <f t="shared" si="2"/>
        <v>FALSE</v>
      </c>
      <c r="L27" s="4">
        <v>0.41046427895738541</v>
      </c>
      <c r="M27" s="4" t="s">
        <v>53</v>
      </c>
      <c r="N27" s="4">
        <v>0.81336302476566014</v>
      </c>
      <c r="O27" s="4">
        <v>0.69891900555719089</v>
      </c>
      <c r="P27" s="4" t="str">
        <f t="shared" si="3"/>
        <v>TRUE</v>
      </c>
      <c r="Q27" s="4" t="str">
        <f t="shared" si="4"/>
        <v>FALSE</v>
      </c>
    </row>
    <row r="28" spans="2:17" x14ac:dyDescent="0.2">
      <c r="B28" s="4" t="s">
        <v>38</v>
      </c>
      <c r="C28" s="4" t="s">
        <v>42</v>
      </c>
      <c r="D28" s="4" t="s">
        <v>44</v>
      </c>
      <c r="E28" s="4">
        <v>0.82795743334313165</v>
      </c>
      <c r="F28" s="4" t="str">
        <f t="shared" si="0"/>
        <v>TRUE</v>
      </c>
      <c r="G28" s="4">
        <v>0.51412358425708649</v>
      </c>
      <c r="H28" s="4" t="str">
        <f t="shared" si="1"/>
        <v>FALSE</v>
      </c>
      <c r="I28" s="4">
        <v>5.1421069808040967</v>
      </c>
      <c r="J28" s="4">
        <v>15.494300000000001</v>
      </c>
      <c r="K28" s="4" t="str">
        <f t="shared" si="2"/>
        <v>FALSE</v>
      </c>
      <c r="L28" s="4">
        <v>0.33187088031108841</v>
      </c>
      <c r="M28" s="4" t="s">
        <v>54</v>
      </c>
      <c r="N28" s="4">
        <v>0.53809258992110043</v>
      </c>
      <c r="O28" s="4">
        <v>0.84472792579861</v>
      </c>
      <c r="P28" s="4" t="str">
        <f t="shared" si="3"/>
        <v>TRUE</v>
      </c>
      <c r="Q28" s="4" t="str">
        <f t="shared" si="4"/>
        <v>FALSE</v>
      </c>
    </row>
    <row r="29" spans="2:17" x14ac:dyDescent="0.2">
      <c r="B29" s="4" t="s">
        <v>38</v>
      </c>
      <c r="C29" s="4" t="s">
        <v>42</v>
      </c>
      <c r="D29" s="4" t="s">
        <v>46</v>
      </c>
      <c r="E29" s="4">
        <v>0.69456957137456588</v>
      </c>
      <c r="F29" s="4" t="str">
        <f t="shared" si="0"/>
        <v>TRUE</v>
      </c>
      <c r="G29" s="4">
        <v>0.1069501141843132</v>
      </c>
      <c r="H29" s="4" t="str">
        <f t="shared" si="1"/>
        <v>FALSE</v>
      </c>
      <c r="I29" s="4">
        <v>8.0475859884933367</v>
      </c>
      <c r="J29" s="4">
        <v>15.494300000000001</v>
      </c>
      <c r="K29" s="4" t="str">
        <f t="shared" si="2"/>
        <v>FALSE</v>
      </c>
      <c r="L29" s="4">
        <v>0.51939009755157295</v>
      </c>
      <c r="M29" s="4" t="s">
        <v>55</v>
      </c>
      <c r="N29" s="4">
        <v>0.53809246033725577</v>
      </c>
      <c r="O29" s="4">
        <v>0.85092825265263961</v>
      </c>
      <c r="P29" s="4" t="str">
        <f t="shared" si="3"/>
        <v>TRUE</v>
      </c>
      <c r="Q29" s="4" t="str">
        <f t="shared" si="4"/>
        <v>FALSE</v>
      </c>
    </row>
    <row r="30" spans="2:17" x14ac:dyDescent="0.2">
      <c r="B30" s="4" t="s">
        <v>38</v>
      </c>
      <c r="C30" s="4" t="s">
        <v>42</v>
      </c>
      <c r="D30" s="4" t="s">
        <v>48</v>
      </c>
      <c r="E30" s="4">
        <v>0.72490273291442053</v>
      </c>
      <c r="F30" s="4" t="str">
        <f t="shared" si="0"/>
        <v>TRUE</v>
      </c>
      <c r="G30" s="4">
        <v>1.7790769900930689E-2</v>
      </c>
      <c r="H30" s="4" t="str">
        <f t="shared" si="1"/>
        <v>TRUE</v>
      </c>
      <c r="I30" s="4">
        <v>12.52730098111115</v>
      </c>
      <c r="J30" s="4">
        <v>15.494300000000001</v>
      </c>
      <c r="K30" s="4" t="str">
        <f t="shared" si="2"/>
        <v>FALSE</v>
      </c>
      <c r="L30" s="4">
        <v>0.80851028966207894</v>
      </c>
      <c r="M30" s="4" t="s">
        <v>56</v>
      </c>
      <c r="N30" s="4">
        <v>0.53809290864719506</v>
      </c>
      <c r="O30" s="4">
        <v>0.69891921540436619</v>
      </c>
      <c r="P30" s="4" t="str">
        <f t="shared" si="3"/>
        <v>TRUE</v>
      </c>
      <c r="Q30" s="4" t="str">
        <f t="shared" si="4"/>
        <v>FALSE</v>
      </c>
    </row>
    <row r="31" spans="2:17" x14ac:dyDescent="0.2">
      <c r="B31" s="4" t="s">
        <v>38</v>
      </c>
      <c r="C31" s="4" t="s">
        <v>44</v>
      </c>
      <c r="D31" s="4" t="s">
        <v>46</v>
      </c>
      <c r="E31" s="4">
        <v>0.63343991071157091</v>
      </c>
      <c r="F31" s="4" t="str">
        <f t="shared" si="0"/>
        <v>TRUE</v>
      </c>
      <c r="G31" s="4">
        <v>9.447513481397618E-2</v>
      </c>
      <c r="H31" s="4" t="str">
        <f t="shared" si="1"/>
        <v>FALSE</v>
      </c>
      <c r="I31" s="4">
        <v>7.9548312233767779</v>
      </c>
      <c r="J31" s="4">
        <v>15.494300000000001</v>
      </c>
      <c r="K31" s="4" t="str">
        <f t="shared" si="2"/>
        <v>FALSE</v>
      </c>
      <c r="L31" s="4">
        <v>0.51340371771404825</v>
      </c>
      <c r="M31" s="4" t="s">
        <v>57</v>
      </c>
      <c r="N31" s="4">
        <v>0.84472724152629741</v>
      </c>
      <c r="O31" s="4">
        <v>0.85092821635878735</v>
      </c>
      <c r="P31" s="4" t="str">
        <f t="shared" si="3"/>
        <v>TRUE</v>
      </c>
      <c r="Q31" s="4" t="str">
        <f t="shared" si="4"/>
        <v>FALSE</v>
      </c>
    </row>
    <row r="32" spans="2:17" x14ac:dyDescent="0.2">
      <c r="B32" s="4" t="s">
        <v>38</v>
      </c>
      <c r="C32" s="4" t="s">
        <v>44</v>
      </c>
      <c r="D32" s="4" t="s">
        <v>48</v>
      </c>
      <c r="E32" s="4">
        <v>0.63268799058185676</v>
      </c>
      <c r="F32" s="4" t="str">
        <f t="shared" si="0"/>
        <v>TRUE</v>
      </c>
      <c r="G32" s="4">
        <v>0.1240903854394302</v>
      </c>
      <c r="H32" s="4" t="str">
        <f t="shared" si="1"/>
        <v>FALSE</v>
      </c>
      <c r="I32" s="4">
        <v>8.1374742271691733</v>
      </c>
      <c r="J32" s="4">
        <v>15.494300000000001</v>
      </c>
      <c r="K32" s="4" t="str">
        <f t="shared" si="2"/>
        <v>FALSE</v>
      </c>
      <c r="L32" s="4">
        <v>0.52519147216519446</v>
      </c>
      <c r="M32" s="4" t="s">
        <v>58</v>
      </c>
      <c r="N32" s="4">
        <v>0.84472730062937451</v>
      </c>
      <c r="O32" s="4">
        <v>0.69891928010860616</v>
      </c>
      <c r="P32" s="4" t="str">
        <f t="shared" si="3"/>
        <v>TRUE</v>
      </c>
      <c r="Q32" s="4" t="str">
        <f t="shared" si="4"/>
        <v>FALSE</v>
      </c>
    </row>
    <row r="33" spans="2:17" x14ac:dyDescent="0.2">
      <c r="B33" s="4" t="s">
        <v>38</v>
      </c>
      <c r="C33" s="4" t="s">
        <v>46</v>
      </c>
      <c r="D33" s="4" t="s">
        <v>48</v>
      </c>
      <c r="E33" s="4">
        <v>0.90516004945525075</v>
      </c>
      <c r="F33" s="4" t="str">
        <f t="shared" si="0"/>
        <v>TRUE</v>
      </c>
      <c r="G33" s="4">
        <v>2.8783457478148141E-2</v>
      </c>
      <c r="H33" s="4" t="str">
        <f t="shared" si="1"/>
        <v>TRUE</v>
      </c>
      <c r="I33" s="4">
        <v>11.061053464731851</v>
      </c>
      <c r="J33" s="4">
        <v>15.494300000000001</v>
      </c>
      <c r="K33" s="4" t="str">
        <f t="shared" si="2"/>
        <v>FALSE</v>
      </c>
      <c r="L33" s="4">
        <v>0.71387887576281928</v>
      </c>
      <c r="M33" s="4" t="s">
        <v>59</v>
      </c>
      <c r="N33" s="4">
        <v>0.8509285546112797</v>
      </c>
      <c r="O33" s="4">
        <v>0.698919217150201</v>
      </c>
      <c r="P33" s="4" t="str">
        <f t="shared" si="3"/>
        <v>TRUE</v>
      </c>
      <c r="Q33" s="4" t="str">
        <f t="shared" si="4"/>
        <v>FALSE</v>
      </c>
    </row>
    <row r="34" spans="2:17" x14ac:dyDescent="0.2">
      <c r="B34" s="4" t="s">
        <v>60</v>
      </c>
      <c r="C34" s="4" t="s">
        <v>61</v>
      </c>
      <c r="D34" s="4" t="s">
        <v>62</v>
      </c>
      <c r="E34" s="4">
        <v>0.67203198817632304</v>
      </c>
      <c r="F34" s="4" t="str">
        <f t="shared" si="0"/>
        <v>TRUE</v>
      </c>
      <c r="G34" s="4">
        <v>0.32035507303833549</v>
      </c>
      <c r="H34" s="4" t="str">
        <f t="shared" si="1"/>
        <v>FALSE</v>
      </c>
      <c r="I34" s="4">
        <v>4.9760917151123856</v>
      </c>
      <c r="J34" s="4">
        <v>15.494300000000001</v>
      </c>
      <c r="K34" s="4" t="str">
        <f t="shared" si="2"/>
        <v>FALSE</v>
      </c>
      <c r="L34" s="4">
        <v>0.32115627779973188</v>
      </c>
      <c r="M34" s="4" t="s">
        <v>63</v>
      </c>
      <c r="N34" s="4">
        <v>0.95611960757339953</v>
      </c>
      <c r="O34" s="4">
        <v>0.99372875760268542</v>
      </c>
      <c r="P34" s="4" t="str">
        <f t="shared" si="3"/>
        <v>TRUE</v>
      </c>
      <c r="Q34" s="4" t="str">
        <f t="shared" si="4"/>
        <v>FALSE</v>
      </c>
    </row>
    <row r="35" spans="2:17" x14ac:dyDescent="0.2">
      <c r="B35" s="4" t="s">
        <v>60</v>
      </c>
      <c r="C35" s="4" t="s">
        <v>61</v>
      </c>
      <c r="D35" s="4" t="s">
        <v>64</v>
      </c>
      <c r="E35" s="4">
        <v>0.37335087864226502</v>
      </c>
      <c r="F35" s="4" t="str">
        <f t="shared" si="0"/>
        <v>FALSE</v>
      </c>
      <c r="G35" s="4">
        <v>0.79891805238110392</v>
      </c>
      <c r="H35" s="4" t="str">
        <f t="shared" si="1"/>
        <v>FALSE</v>
      </c>
      <c r="I35" s="4">
        <v>5.8836809805225219</v>
      </c>
      <c r="J35" s="4">
        <v>15.494300000000001</v>
      </c>
      <c r="K35" s="4" t="str">
        <f t="shared" si="2"/>
        <v>FALSE</v>
      </c>
      <c r="L35" s="4">
        <v>0.37973196469169451</v>
      </c>
      <c r="M35" s="4" t="s">
        <v>65</v>
      </c>
      <c r="N35" s="4">
        <v>0.95611957474622489</v>
      </c>
      <c r="O35" s="4">
        <v>0.37690420656444013</v>
      </c>
      <c r="P35" s="4" t="str">
        <f t="shared" si="3"/>
        <v>TRUE</v>
      </c>
      <c r="Q35" s="4" t="str">
        <f t="shared" si="4"/>
        <v>FALSE</v>
      </c>
    </row>
    <row r="36" spans="2:17" x14ac:dyDescent="0.2">
      <c r="B36" s="4" t="s">
        <v>60</v>
      </c>
      <c r="C36" s="4" t="s">
        <v>61</v>
      </c>
      <c r="D36" s="4" t="s">
        <v>66</v>
      </c>
      <c r="E36" s="4">
        <v>0.45075816698118409</v>
      </c>
      <c r="F36" s="4" t="str">
        <f t="shared" si="0"/>
        <v>FALSE</v>
      </c>
      <c r="G36" s="4">
        <v>0.87753465592702695</v>
      </c>
      <c r="H36" s="4" t="str">
        <f t="shared" si="1"/>
        <v>FALSE</v>
      </c>
      <c r="I36" s="4">
        <v>5.8896508687066094</v>
      </c>
      <c r="J36" s="4">
        <v>15.494300000000001</v>
      </c>
      <c r="K36" s="4" t="str">
        <f t="shared" si="2"/>
        <v>FALSE</v>
      </c>
      <c r="L36" s="4">
        <v>0.38011726045749777</v>
      </c>
      <c r="M36" s="4" t="s">
        <v>67</v>
      </c>
      <c r="N36" s="4">
        <v>0.95611960757339953</v>
      </c>
      <c r="O36" s="4">
        <v>0.27763052019929019</v>
      </c>
      <c r="P36" s="4" t="str">
        <f t="shared" si="3"/>
        <v>TRUE</v>
      </c>
      <c r="Q36" s="4" t="str">
        <f t="shared" si="4"/>
        <v>FALSE</v>
      </c>
    </row>
    <row r="37" spans="2:17" x14ac:dyDescent="0.2">
      <c r="B37" s="4" t="s">
        <v>60</v>
      </c>
      <c r="C37" s="4" t="s">
        <v>61</v>
      </c>
      <c r="D37" s="4" t="s">
        <v>68</v>
      </c>
      <c r="E37" s="4">
        <v>0.54204984958613822</v>
      </c>
      <c r="F37" s="4" t="str">
        <f t="shared" si="0"/>
        <v>FALSE</v>
      </c>
      <c r="G37" s="4">
        <v>8.7222482324012585E-2</v>
      </c>
      <c r="H37" s="4" t="str">
        <f t="shared" si="1"/>
        <v>FALSE</v>
      </c>
      <c r="I37" s="4">
        <v>7.9789851515858654</v>
      </c>
      <c r="J37" s="4">
        <v>15.494300000000001</v>
      </c>
      <c r="K37" s="4" t="str">
        <f t="shared" si="2"/>
        <v>FALSE</v>
      </c>
      <c r="L37" s="4">
        <v>0.51496260893269552</v>
      </c>
      <c r="M37" s="4" t="s">
        <v>69</v>
      </c>
      <c r="N37" s="4">
        <v>0.9561195142840444</v>
      </c>
      <c r="O37" s="4">
        <v>0.91231450026015559</v>
      </c>
      <c r="P37" s="4" t="str">
        <f t="shared" si="3"/>
        <v>TRUE</v>
      </c>
      <c r="Q37" s="4" t="str">
        <f t="shared" si="4"/>
        <v>FALSE</v>
      </c>
    </row>
    <row r="38" spans="2:17" x14ac:dyDescent="0.2">
      <c r="B38" s="4" t="s">
        <v>60</v>
      </c>
      <c r="C38" s="4" t="s">
        <v>61</v>
      </c>
      <c r="D38" s="4" t="s">
        <v>70</v>
      </c>
      <c r="E38" s="4">
        <v>0.51670564801711039</v>
      </c>
      <c r="F38" s="4" t="str">
        <f t="shared" si="0"/>
        <v>FALSE</v>
      </c>
      <c r="G38" s="4">
        <v>0.81290129647314291</v>
      </c>
      <c r="H38" s="4" t="str">
        <f t="shared" si="1"/>
        <v>FALSE</v>
      </c>
      <c r="I38" s="4">
        <v>4.5699354783248394</v>
      </c>
      <c r="J38" s="4">
        <v>15.494300000000001</v>
      </c>
      <c r="K38" s="4" t="str">
        <f t="shared" si="2"/>
        <v>FALSE</v>
      </c>
      <c r="L38" s="4">
        <v>0.29494300990201811</v>
      </c>
      <c r="M38" s="4" t="s">
        <v>71</v>
      </c>
      <c r="N38" s="4">
        <v>0.95611966896784262</v>
      </c>
      <c r="O38" s="4">
        <v>0.48523483986056648</v>
      </c>
      <c r="P38" s="4" t="str">
        <f t="shared" si="3"/>
        <v>TRUE</v>
      </c>
      <c r="Q38" s="4" t="str">
        <f t="shared" si="4"/>
        <v>FALSE</v>
      </c>
    </row>
    <row r="39" spans="2:17" x14ac:dyDescent="0.2">
      <c r="B39" s="4" t="s">
        <v>60</v>
      </c>
      <c r="C39" s="4" t="s">
        <v>61</v>
      </c>
      <c r="D39" s="4" t="s">
        <v>72</v>
      </c>
      <c r="E39" s="4">
        <v>0.68545381394939653</v>
      </c>
      <c r="F39" s="4" t="str">
        <f t="shared" si="0"/>
        <v>TRUE</v>
      </c>
      <c r="G39" s="4">
        <v>1.779794948292019E-3</v>
      </c>
      <c r="H39" s="4" t="str">
        <f t="shared" si="1"/>
        <v>TRUE</v>
      </c>
      <c r="I39" s="4">
        <v>17.153636506002719</v>
      </c>
      <c r="J39" s="4">
        <v>15.494300000000001</v>
      </c>
      <c r="K39" s="4" t="str">
        <f t="shared" si="2"/>
        <v>TRUE</v>
      </c>
      <c r="L39" s="4">
        <v>1.1070933508453249</v>
      </c>
      <c r="M39" s="4" t="s">
        <v>73</v>
      </c>
      <c r="N39" s="4">
        <v>0.95611962620684432</v>
      </c>
      <c r="O39" s="4">
        <v>0.84524787850342231</v>
      </c>
      <c r="P39" s="4" t="str">
        <f t="shared" si="3"/>
        <v>TRUE</v>
      </c>
      <c r="Q39" s="4" t="str">
        <f t="shared" si="4"/>
        <v>TRUE</v>
      </c>
    </row>
    <row r="40" spans="2:17" x14ac:dyDescent="0.2">
      <c r="B40" s="4" t="s">
        <v>60</v>
      </c>
      <c r="C40" s="4" t="s">
        <v>62</v>
      </c>
      <c r="D40" s="4" t="s">
        <v>64</v>
      </c>
      <c r="E40" s="4">
        <v>0.23391202691648999</v>
      </c>
      <c r="F40" s="4" t="str">
        <f t="shared" si="0"/>
        <v>FALSE</v>
      </c>
      <c r="G40" s="4">
        <v>0.9875696242930283</v>
      </c>
      <c r="H40" s="4" t="str">
        <f t="shared" si="1"/>
        <v>FALSE</v>
      </c>
      <c r="I40" s="4">
        <v>5.4971397792031533</v>
      </c>
      <c r="J40" s="4">
        <v>15.494300000000001</v>
      </c>
      <c r="K40" s="4" t="str">
        <f t="shared" si="2"/>
        <v>FALSE</v>
      </c>
      <c r="L40" s="4">
        <v>0.3547846484967474</v>
      </c>
      <c r="M40" s="4" t="s">
        <v>74</v>
      </c>
      <c r="N40" s="4">
        <v>0.99372874344990758</v>
      </c>
      <c r="O40" s="4">
        <v>0.37690428828336908</v>
      </c>
      <c r="P40" s="4" t="str">
        <f t="shared" si="3"/>
        <v>TRUE</v>
      </c>
      <c r="Q40" s="4" t="str">
        <f t="shared" si="4"/>
        <v>FALSE</v>
      </c>
    </row>
    <row r="41" spans="2:17" x14ac:dyDescent="0.2">
      <c r="B41" s="4" t="s">
        <v>60</v>
      </c>
      <c r="C41" s="4" t="s">
        <v>62</v>
      </c>
      <c r="D41" s="4" t="s">
        <v>66</v>
      </c>
      <c r="E41" s="4">
        <v>0.29288913361807178</v>
      </c>
      <c r="F41" s="4" t="str">
        <f t="shared" si="0"/>
        <v>FALSE</v>
      </c>
      <c r="G41" s="4">
        <v>0.98441813462803474</v>
      </c>
      <c r="H41" s="4" t="str">
        <f t="shared" si="1"/>
        <v>FALSE</v>
      </c>
      <c r="I41" s="4">
        <v>5.4278428904567546</v>
      </c>
      <c r="J41" s="4">
        <v>15.494300000000001</v>
      </c>
      <c r="K41" s="4" t="str">
        <f t="shared" si="2"/>
        <v>FALSE</v>
      </c>
      <c r="L41" s="4">
        <v>0.3503122367875125</v>
      </c>
      <c r="M41" s="4" t="s">
        <v>75</v>
      </c>
      <c r="N41" s="4">
        <v>0.99372869892837856</v>
      </c>
      <c r="O41" s="4">
        <v>0.27763052019929019</v>
      </c>
      <c r="P41" s="4" t="str">
        <f t="shared" si="3"/>
        <v>TRUE</v>
      </c>
      <c r="Q41" s="4" t="str">
        <f t="shared" si="4"/>
        <v>FALSE</v>
      </c>
    </row>
    <row r="42" spans="2:17" x14ac:dyDescent="0.2">
      <c r="B42" s="4" t="s">
        <v>60</v>
      </c>
      <c r="C42" s="4" t="s">
        <v>62</v>
      </c>
      <c r="D42" s="4" t="s">
        <v>68</v>
      </c>
      <c r="E42" s="4">
        <v>0.59009082737044405</v>
      </c>
      <c r="F42" s="4" t="str">
        <f t="shared" si="0"/>
        <v>FALSE</v>
      </c>
      <c r="G42" s="4">
        <v>9.3251805631181493E-4</v>
      </c>
      <c r="H42" s="4" t="str">
        <f t="shared" si="1"/>
        <v>TRUE</v>
      </c>
      <c r="I42" s="4">
        <v>19.058608411562101</v>
      </c>
      <c r="J42" s="4">
        <v>15.494300000000001</v>
      </c>
      <c r="K42" s="4" t="str">
        <f t="shared" si="2"/>
        <v>TRUE</v>
      </c>
      <c r="L42" s="4">
        <v>1.230039976737388</v>
      </c>
      <c r="M42" s="4" t="s">
        <v>76</v>
      </c>
      <c r="N42" s="4">
        <v>0.99372875141433226</v>
      </c>
      <c r="O42" s="4">
        <v>0.91231465828754388</v>
      </c>
      <c r="P42" s="4" t="str">
        <f t="shared" si="3"/>
        <v>TRUE</v>
      </c>
      <c r="Q42" s="4" t="str">
        <f t="shared" si="4"/>
        <v>FALSE</v>
      </c>
    </row>
    <row r="43" spans="2:17" x14ac:dyDescent="0.2">
      <c r="B43" s="4" t="s">
        <v>60</v>
      </c>
      <c r="C43" s="4" t="s">
        <v>62</v>
      </c>
      <c r="D43" s="4" t="s">
        <v>70</v>
      </c>
      <c r="E43" s="4">
        <v>0.41649301058477139</v>
      </c>
      <c r="F43" s="4" t="str">
        <f t="shared" si="0"/>
        <v>FALSE</v>
      </c>
      <c r="G43" s="4">
        <v>0.97832290847883019</v>
      </c>
      <c r="H43" s="4" t="str">
        <f t="shared" si="1"/>
        <v>FALSE</v>
      </c>
      <c r="I43" s="4">
        <v>5.0416065748030654</v>
      </c>
      <c r="J43" s="4">
        <v>15.494300000000001</v>
      </c>
      <c r="K43" s="4" t="str">
        <f t="shared" si="2"/>
        <v>FALSE</v>
      </c>
      <c r="L43" s="4">
        <v>0.32538459787167312</v>
      </c>
      <c r="M43" s="4" t="s">
        <v>77</v>
      </c>
      <c r="N43" s="4">
        <v>0.993728724006118</v>
      </c>
      <c r="O43" s="4">
        <v>0.48523494395205607</v>
      </c>
      <c r="P43" s="4" t="str">
        <f t="shared" si="3"/>
        <v>TRUE</v>
      </c>
      <c r="Q43" s="4" t="str">
        <f t="shared" si="4"/>
        <v>FALSE</v>
      </c>
    </row>
    <row r="44" spans="2:17" x14ac:dyDescent="0.2">
      <c r="B44" s="4" t="s">
        <v>60</v>
      </c>
      <c r="C44" s="4" t="s">
        <v>62</v>
      </c>
      <c r="D44" s="4" t="s">
        <v>72</v>
      </c>
      <c r="E44" s="4">
        <v>0.54606317067606314</v>
      </c>
      <c r="F44" s="4" t="str">
        <f t="shared" si="0"/>
        <v>FALSE</v>
      </c>
      <c r="G44" s="4">
        <v>5.051043423484549E-2</v>
      </c>
      <c r="H44" s="4" t="str">
        <f t="shared" si="1"/>
        <v>FALSE</v>
      </c>
      <c r="I44" s="4">
        <v>11.28068416201287</v>
      </c>
      <c r="J44" s="4">
        <v>15.494300000000001</v>
      </c>
      <c r="K44" s="4" t="str">
        <f t="shared" si="2"/>
        <v>FALSE</v>
      </c>
      <c r="L44" s="4">
        <v>0.72805381088612398</v>
      </c>
      <c r="M44" s="4" t="s">
        <v>78</v>
      </c>
      <c r="N44" s="4">
        <v>0.99372867723970337</v>
      </c>
      <c r="O44" s="4">
        <v>0.84524833062269211</v>
      </c>
      <c r="P44" s="4" t="str">
        <f t="shared" si="3"/>
        <v>TRUE</v>
      </c>
      <c r="Q44" s="4" t="str">
        <f t="shared" si="4"/>
        <v>FALSE</v>
      </c>
    </row>
    <row r="45" spans="2:17" x14ac:dyDescent="0.2">
      <c r="B45" s="4" t="s">
        <v>60</v>
      </c>
      <c r="C45" s="4" t="s">
        <v>64</v>
      </c>
      <c r="D45" s="4" t="s">
        <v>66</v>
      </c>
      <c r="E45" s="4">
        <v>0.4702242886507853</v>
      </c>
      <c r="F45" s="4" t="str">
        <f t="shared" si="0"/>
        <v>FALSE</v>
      </c>
      <c r="G45" s="4">
        <v>3.3715749021615529E-3</v>
      </c>
      <c r="H45" s="4" t="str">
        <f t="shared" si="1"/>
        <v>TRUE</v>
      </c>
      <c r="I45" s="4">
        <v>17.63948373029708</v>
      </c>
      <c r="J45" s="4">
        <v>15.494300000000001</v>
      </c>
      <c r="K45" s="4" t="str">
        <f t="shared" si="2"/>
        <v>TRUE</v>
      </c>
      <c r="L45" s="4">
        <v>1.1384498641627621</v>
      </c>
      <c r="M45" s="4" t="s">
        <v>79</v>
      </c>
      <c r="N45" s="4">
        <v>0.37690388216200887</v>
      </c>
      <c r="O45" s="4">
        <v>0.27763077065914171</v>
      </c>
      <c r="P45" s="4" t="str">
        <f t="shared" si="3"/>
        <v>TRUE</v>
      </c>
      <c r="Q45" s="4" t="str">
        <f t="shared" si="4"/>
        <v>FALSE</v>
      </c>
    </row>
    <row r="46" spans="2:17" x14ac:dyDescent="0.2">
      <c r="B46" s="4" t="s">
        <v>60</v>
      </c>
      <c r="C46" s="4" t="s">
        <v>64</v>
      </c>
      <c r="D46" s="4" t="s">
        <v>68</v>
      </c>
      <c r="E46" s="4">
        <v>0.17417311345502079</v>
      </c>
      <c r="F46" s="4" t="str">
        <f t="shared" si="0"/>
        <v>FALSE</v>
      </c>
      <c r="G46" s="4">
        <v>0.38025658228897158</v>
      </c>
      <c r="H46" s="4" t="str">
        <f t="shared" si="1"/>
        <v>FALSE</v>
      </c>
      <c r="I46" s="4">
        <v>5.3241599152480914</v>
      </c>
      <c r="J46" s="4">
        <v>15.494300000000001</v>
      </c>
      <c r="K46" s="4" t="str">
        <f t="shared" si="2"/>
        <v>FALSE</v>
      </c>
      <c r="L46" s="4">
        <v>0.34362055176730089</v>
      </c>
      <c r="M46" s="4" t="s">
        <v>80</v>
      </c>
      <c r="N46" s="4">
        <v>0.37690447784644948</v>
      </c>
      <c r="O46" s="4">
        <v>0.9123145288004384</v>
      </c>
      <c r="P46" s="4" t="str">
        <f t="shared" si="3"/>
        <v>TRUE</v>
      </c>
      <c r="Q46" s="4" t="str">
        <f t="shared" si="4"/>
        <v>FALSE</v>
      </c>
    </row>
    <row r="47" spans="2:17" x14ac:dyDescent="0.2">
      <c r="B47" s="4" t="s">
        <v>60</v>
      </c>
      <c r="C47" s="4" t="s">
        <v>64</v>
      </c>
      <c r="D47" s="4" t="s">
        <v>70</v>
      </c>
      <c r="E47" s="4">
        <v>0.55556259800380625</v>
      </c>
      <c r="F47" s="4" t="str">
        <f t="shared" si="0"/>
        <v>FALSE</v>
      </c>
      <c r="G47" s="4">
        <v>6.691675705996214E-2</v>
      </c>
      <c r="H47" s="4" t="str">
        <f t="shared" si="1"/>
        <v>FALSE</v>
      </c>
      <c r="I47" s="4">
        <v>12.40908070021028</v>
      </c>
      <c r="J47" s="4">
        <v>15.494300000000001</v>
      </c>
      <c r="K47" s="4" t="str">
        <f t="shared" si="2"/>
        <v>FALSE</v>
      </c>
      <c r="L47" s="4">
        <v>0.80088036892342884</v>
      </c>
      <c r="M47" s="4" t="s">
        <v>81</v>
      </c>
      <c r="N47" s="4">
        <v>0.37690427358299461</v>
      </c>
      <c r="O47" s="4">
        <v>0.48523467130152981</v>
      </c>
      <c r="P47" s="4" t="str">
        <f t="shared" si="3"/>
        <v>TRUE</v>
      </c>
      <c r="Q47" s="4" t="str">
        <f t="shared" si="4"/>
        <v>FALSE</v>
      </c>
    </row>
    <row r="48" spans="2:17" x14ac:dyDescent="0.2">
      <c r="B48" s="4" t="s">
        <v>60</v>
      </c>
      <c r="C48" s="4" t="s">
        <v>64</v>
      </c>
      <c r="D48" s="4" t="s">
        <v>72</v>
      </c>
      <c r="E48" s="4">
        <v>0.26779407241723813</v>
      </c>
      <c r="F48" s="4" t="str">
        <f t="shared" si="0"/>
        <v>FALSE</v>
      </c>
      <c r="G48" s="4">
        <v>0.2954895839417454</v>
      </c>
      <c r="H48" s="4" t="str">
        <f t="shared" si="1"/>
        <v>FALSE</v>
      </c>
      <c r="I48" s="4">
        <v>5.567391162342485</v>
      </c>
      <c r="J48" s="4">
        <v>15.494300000000001</v>
      </c>
      <c r="K48" s="4" t="str">
        <f t="shared" si="2"/>
        <v>FALSE</v>
      </c>
      <c r="L48" s="4">
        <v>0.35931866314338079</v>
      </c>
      <c r="M48" s="4" t="s">
        <v>82</v>
      </c>
      <c r="N48" s="4">
        <v>0.37690463085540071</v>
      </c>
      <c r="O48" s="4">
        <v>0.84524734925344791</v>
      </c>
      <c r="P48" s="4" t="str">
        <f t="shared" si="3"/>
        <v>TRUE</v>
      </c>
      <c r="Q48" s="4" t="str">
        <f t="shared" si="4"/>
        <v>FALSE</v>
      </c>
    </row>
    <row r="49" spans="2:17" x14ac:dyDescent="0.2">
      <c r="B49" s="4" t="s">
        <v>60</v>
      </c>
      <c r="C49" s="4" t="s">
        <v>66</v>
      </c>
      <c r="D49" s="4" t="s">
        <v>68</v>
      </c>
      <c r="E49" s="4">
        <v>0.30074553990351272</v>
      </c>
      <c r="F49" s="4" t="str">
        <f t="shared" si="0"/>
        <v>FALSE</v>
      </c>
      <c r="G49" s="4">
        <v>0.58954291265758108</v>
      </c>
      <c r="H49" s="4" t="str">
        <f t="shared" si="1"/>
        <v>FALSE</v>
      </c>
      <c r="I49" s="4">
        <v>4.5433814013054334</v>
      </c>
      <c r="J49" s="4">
        <v>15.494300000000001</v>
      </c>
      <c r="K49" s="4" t="str">
        <f t="shared" si="2"/>
        <v>FALSE</v>
      </c>
      <c r="L49" s="4">
        <v>0.29322921340786168</v>
      </c>
      <c r="M49" s="4" t="s">
        <v>83</v>
      </c>
      <c r="N49" s="4">
        <v>0.27763050380773141</v>
      </c>
      <c r="O49" s="4">
        <v>0.91231445576407499</v>
      </c>
      <c r="P49" s="4" t="str">
        <f t="shared" si="3"/>
        <v>TRUE</v>
      </c>
      <c r="Q49" s="4" t="str">
        <f t="shared" si="4"/>
        <v>FALSE</v>
      </c>
    </row>
    <row r="50" spans="2:17" x14ac:dyDescent="0.2">
      <c r="B50" s="4" t="s">
        <v>60</v>
      </c>
      <c r="C50" s="4" t="s">
        <v>66</v>
      </c>
      <c r="D50" s="4" t="s">
        <v>70</v>
      </c>
      <c r="E50" s="4">
        <v>0.69192378127424181</v>
      </c>
      <c r="F50" s="4" t="str">
        <f t="shared" si="0"/>
        <v>TRUE</v>
      </c>
      <c r="G50" s="4">
        <v>6.3665217736084377E-3</v>
      </c>
      <c r="H50" s="4" t="str">
        <f t="shared" si="1"/>
        <v>TRUE</v>
      </c>
      <c r="I50" s="4">
        <v>17.041057127069891</v>
      </c>
      <c r="J50" s="4">
        <v>15.494300000000001</v>
      </c>
      <c r="K50" s="4" t="str">
        <f t="shared" si="2"/>
        <v>TRUE</v>
      </c>
      <c r="L50" s="4">
        <v>1.099827493147151</v>
      </c>
      <c r="M50" s="4" t="s">
        <v>84</v>
      </c>
      <c r="N50" s="4">
        <v>0.27763050380773141</v>
      </c>
      <c r="O50" s="4">
        <v>0.48523443134334948</v>
      </c>
      <c r="P50" s="4" t="str">
        <f t="shared" si="3"/>
        <v>TRUE</v>
      </c>
      <c r="Q50" s="4" t="str">
        <f t="shared" si="4"/>
        <v>TRUE</v>
      </c>
    </row>
    <row r="51" spans="2:17" x14ac:dyDescent="0.2">
      <c r="B51" s="4" t="s">
        <v>60</v>
      </c>
      <c r="C51" s="4" t="s">
        <v>66</v>
      </c>
      <c r="D51" s="4" t="s">
        <v>72</v>
      </c>
      <c r="E51" s="4">
        <v>0.2188672109431205</v>
      </c>
      <c r="F51" s="4" t="str">
        <f t="shared" si="0"/>
        <v>FALSE</v>
      </c>
      <c r="G51" s="4">
        <v>0.32154399195433447</v>
      </c>
      <c r="H51" s="4" t="str">
        <f t="shared" si="1"/>
        <v>FALSE</v>
      </c>
      <c r="I51" s="4">
        <v>5.2301853248377332</v>
      </c>
      <c r="J51" s="4">
        <v>15.494300000000001</v>
      </c>
      <c r="K51" s="4" t="str">
        <f t="shared" si="2"/>
        <v>FALSE</v>
      </c>
      <c r="L51" s="4">
        <v>0.33755544457237391</v>
      </c>
      <c r="M51" s="4" t="s">
        <v>85</v>
      </c>
      <c r="N51" s="4">
        <v>0.27763102917462329</v>
      </c>
      <c r="O51" s="4">
        <v>0.84524842841168479</v>
      </c>
      <c r="P51" s="4" t="str">
        <f t="shared" si="3"/>
        <v>TRUE</v>
      </c>
      <c r="Q51" s="4" t="str">
        <f t="shared" si="4"/>
        <v>FALSE</v>
      </c>
    </row>
    <row r="52" spans="2:17" x14ac:dyDescent="0.2">
      <c r="B52" s="4" t="s">
        <v>60</v>
      </c>
      <c r="C52" s="4" t="s">
        <v>68</v>
      </c>
      <c r="D52" s="4" t="s">
        <v>70</v>
      </c>
      <c r="E52" s="4">
        <v>0.41556083589525611</v>
      </c>
      <c r="F52" s="4" t="str">
        <f t="shared" si="0"/>
        <v>FALSE</v>
      </c>
      <c r="G52" s="4">
        <v>0.85417227021690689</v>
      </c>
      <c r="H52" s="4" t="str">
        <f t="shared" si="1"/>
        <v>FALSE</v>
      </c>
      <c r="I52" s="4">
        <v>3.947528632141474</v>
      </c>
      <c r="J52" s="4">
        <v>15.494300000000001</v>
      </c>
      <c r="K52" s="4" t="str">
        <f t="shared" si="2"/>
        <v>FALSE</v>
      </c>
      <c r="L52" s="4">
        <v>0.25477295729019528</v>
      </c>
      <c r="M52" s="4" t="s">
        <v>86</v>
      </c>
      <c r="N52" s="4">
        <v>0.91231445576407499</v>
      </c>
      <c r="O52" s="4">
        <v>0.48523460975241761</v>
      </c>
      <c r="P52" s="4" t="str">
        <f t="shared" si="3"/>
        <v>TRUE</v>
      </c>
      <c r="Q52" s="4" t="str">
        <f t="shared" si="4"/>
        <v>FALSE</v>
      </c>
    </row>
    <row r="53" spans="2:17" x14ac:dyDescent="0.2">
      <c r="B53" s="4" t="s">
        <v>60</v>
      </c>
      <c r="C53" s="4" t="s">
        <v>68</v>
      </c>
      <c r="D53" s="4" t="s">
        <v>72</v>
      </c>
      <c r="E53" s="4">
        <v>0.45494064454386629</v>
      </c>
      <c r="F53" s="4" t="str">
        <f t="shared" si="0"/>
        <v>FALSE</v>
      </c>
      <c r="G53" s="4">
        <v>2.5883266623394709E-2</v>
      </c>
      <c r="H53" s="4" t="str">
        <f t="shared" si="1"/>
        <v>TRUE</v>
      </c>
      <c r="I53" s="4">
        <v>11.46654023884423</v>
      </c>
      <c r="J53" s="4">
        <v>15.494300000000001</v>
      </c>
      <c r="K53" s="4" t="str">
        <f t="shared" si="2"/>
        <v>FALSE</v>
      </c>
      <c r="L53" s="4">
        <v>0.74004893663116322</v>
      </c>
      <c r="M53" s="4" t="s">
        <v>87</v>
      </c>
      <c r="N53" s="4">
        <v>0.91231396325295422</v>
      </c>
      <c r="O53" s="4">
        <v>0.84524798942469337</v>
      </c>
      <c r="P53" s="4" t="str">
        <f t="shared" si="3"/>
        <v>TRUE</v>
      </c>
      <c r="Q53" s="4" t="str">
        <f t="shared" si="4"/>
        <v>FALSE</v>
      </c>
    </row>
    <row r="54" spans="2:17" x14ac:dyDescent="0.2">
      <c r="B54" s="4" t="s">
        <v>60</v>
      </c>
      <c r="C54" s="4" t="s">
        <v>70</v>
      </c>
      <c r="D54" s="4" t="s">
        <v>72</v>
      </c>
      <c r="E54" s="4">
        <v>0.32415619752542402</v>
      </c>
      <c r="F54" s="4" t="str">
        <f t="shared" si="0"/>
        <v>FALSE</v>
      </c>
      <c r="G54" s="4">
        <v>0.44070411916933672</v>
      </c>
      <c r="H54" s="4" t="str">
        <f t="shared" si="1"/>
        <v>FALSE</v>
      </c>
      <c r="I54" s="4">
        <v>4.1706063032333187</v>
      </c>
      <c r="J54" s="4">
        <v>15.494300000000001</v>
      </c>
      <c r="K54" s="4" t="str">
        <f t="shared" si="2"/>
        <v>FALSE</v>
      </c>
      <c r="L54" s="4">
        <v>0.26917035963117519</v>
      </c>
      <c r="M54" s="4" t="s">
        <v>88</v>
      </c>
      <c r="N54" s="4">
        <v>0.4852344253623565</v>
      </c>
      <c r="O54" s="4">
        <v>0.84524798942469337</v>
      </c>
      <c r="P54" s="4" t="str">
        <f t="shared" si="3"/>
        <v>TRUE</v>
      </c>
      <c r="Q54" s="4" t="str">
        <f t="shared" si="4"/>
        <v>FALSE</v>
      </c>
    </row>
    <row r="55" spans="2:17" x14ac:dyDescent="0.2">
      <c r="B55" s="4" t="s">
        <v>89</v>
      </c>
      <c r="C55" s="4" t="s">
        <v>90</v>
      </c>
      <c r="D55" s="4" t="s">
        <v>91</v>
      </c>
      <c r="E55" s="4">
        <v>0.64227363678974303</v>
      </c>
      <c r="F55" s="4" t="str">
        <f t="shared" si="0"/>
        <v>TRUE</v>
      </c>
      <c r="G55" s="4">
        <v>0.29134801803676719</v>
      </c>
      <c r="H55" s="4" t="str">
        <f t="shared" si="1"/>
        <v>FALSE</v>
      </c>
      <c r="I55" s="4">
        <v>4.5833478929943752</v>
      </c>
      <c r="J55" s="4">
        <v>15.494300000000001</v>
      </c>
      <c r="K55" s="4" t="str">
        <f t="shared" si="2"/>
        <v>FALSE</v>
      </c>
      <c r="L55" s="4">
        <v>0.29580864530791162</v>
      </c>
      <c r="M55" s="4" t="s">
        <v>92</v>
      </c>
      <c r="N55" s="4">
        <v>0.95229266158450709</v>
      </c>
      <c r="O55" s="4">
        <v>0.9886531088452235</v>
      </c>
      <c r="P55" s="4" t="str">
        <f t="shared" si="3"/>
        <v>TRUE</v>
      </c>
      <c r="Q55" s="4" t="str">
        <f t="shared" si="4"/>
        <v>FALSE</v>
      </c>
    </row>
    <row r="56" spans="2:17" x14ac:dyDescent="0.2">
      <c r="B56" s="4" t="s">
        <v>89</v>
      </c>
      <c r="C56" s="4" t="s">
        <v>90</v>
      </c>
      <c r="D56" s="4" t="s">
        <v>93</v>
      </c>
      <c r="E56" s="4">
        <v>0.5924438026330775</v>
      </c>
      <c r="F56" s="4" t="str">
        <f t="shared" si="0"/>
        <v>FALSE</v>
      </c>
      <c r="G56" s="4">
        <v>0.12811491895998309</v>
      </c>
      <c r="H56" s="4" t="str">
        <f t="shared" si="1"/>
        <v>FALSE</v>
      </c>
      <c r="I56" s="4">
        <v>6.7186748686780344</v>
      </c>
      <c r="J56" s="4">
        <v>15.494300000000001</v>
      </c>
      <c r="K56" s="4" t="str">
        <f t="shared" si="2"/>
        <v>FALSE</v>
      </c>
      <c r="L56" s="4">
        <v>0.43362235587784109</v>
      </c>
      <c r="M56" s="4" t="s">
        <v>94</v>
      </c>
      <c r="N56" s="4">
        <v>0.95229276100750226</v>
      </c>
      <c r="O56" s="4">
        <v>0.98527254074687465</v>
      </c>
      <c r="P56" s="4" t="str">
        <f t="shared" si="3"/>
        <v>TRUE</v>
      </c>
      <c r="Q56" s="4" t="str">
        <f t="shared" si="4"/>
        <v>FALSE</v>
      </c>
    </row>
    <row r="57" spans="2:17" x14ac:dyDescent="0.2">
      <c r="B57" s="4" t="s">
        <v>89</v>
      </c>
      <c r="C57" s="4" t="s">
        <v>90</v>
      </c>
      <c r="D57" s="4" t="s">
        <v>95</v>
      </c>
      <c r="E57" s="4">
        <v>0.62628035015420769</v>
      </c>
      <c r="F57" s="4" t="str">
        <f t="shared" si="0"/>
        <v>TRUE</v>
      </c>
      <c r="G57" s="4">
        <v>0.32663524745406158</v>
      </c>
      <c r="H57" s="4" t="str">
        <f t="shared" si="1"/>
        <v>FALSE</v>
      </c>
      <c r="I57" s="4">
        <v>4.5148638483790213</v>
      </c>
      <c r="J57" s="4">
        <v>15.494300000000001</v>
      </c>
      <c r="K57" s="4" t="str">
        <f t="shared" si="2"/>
        <v>FALSE</v>
      </c>
      <c r="L57" s="4">
        <v>0.29138869444757243</v>
      </c>
      <c r="M57" s="4" t="s">
        <v>96</v>
      </c>
      <c r="N57" s="4">
        <v>0.95229266273403179</v>
      </c>
      <c r="O57" s="4">
        <v>0.98851212942577149</v>
      </c>
      <c r="P57" s="4" t="str">
        <f t="shared" si="3"/>
        <v>TRUE</v>
      </c>
      <c r="Q57" s="4" t="str">
        <f t="shared" si="4"/>
        <v>FALSE</v>
      </c>
    </row>
    <row r="58" spans="2:17" x14ac:dyDescent="0.2">
      <c r="B58" s="4" t="s">
        <v>89</v>
      </c>
      <c r="C58" s="4" t="s">
        <v>90</v>
      </c>
      <c r="D58" s="4" t="s">
        <v>97</v>
      </c>
      <c r="E58" s="4">
        <v>0.7462449341174292</v>
      </c>
      <c r="F58" s="4" t="str">
        <f t="shared" si="0"/>
        <v>TRUE</v>
      </c>
      <c r="G58" s="4">
        <v>6.0895342150732348E-4</v>
      </c>
      <c r="H58" s="4" t="str">
        <f t="shared" si="1"/>
        <v>TRUE</v>
      </c>
      <c r="I58" s="4">
        <v>14.988213896728309</v>
      </c>
      <c r="J58" s="4">
        <v>15.494300000000001</v>
      </c>
      <c r="K58" s="4" t="str">
        <f t="shared" si="2"/>
        <v>FALSE</v>
      </c>
      <c r="L58" s="4">
        <v>0.96733727220515364</v>
      </c>
      <c r="M58" s="4" t="s">
        <v>98</v>
      </c>
      <c r="N58" s="4">
        <v>0.9522926186266093</v>
      </c>
      <c r="O58" s="4">
        <v>0.68641798613182625</v>
      </c>
      <c r="P58" s="4" t="str">
        <f t="shared" si="3"/>
        <v>TRUE</v>
      </c>
      <c r="Q58" s="4" t="str">
        <f t="shared" si="4"/>
        <v>FALSE</v>
      </c>
    </row>
    <row r="59" spans="2:17" x14ac:dyDescent="0.2">
      <c r="B59" s="4" t="s">
        <v>89</v>
      </c>
      <c r="C59" s="4" t="s">
        <v>91</v>
      </c>
      <c r="D59" s="4" t="s">
        <v>93</v>
      </c>
      <c r="E59" s="4">
        <v>0.66224457620975186</v>
      </c>
      <c r="F59" s="4" t="str">
        <f t="shared" si="0"/>
        <v>TRUE</v>
      </c>
      <c r="G59" s="4">
        <v>3.585240373795328E-3</v>
      </c>
      <c r="H59" s="4" t="str">
        <f t="shared" si="1"/>
        <v>TRUE</v>
      </c>
      <c r="I59" s="4">
        <v>16.401668213741569</v>
      </c>
      <c r="J59" s="4">
        <v>15.494300000000001</v>
      </c>
      <c r="K59" s="4" t="str">
        <f t="shared" si="2"/>
        <v>TRUE</v>
      </c>
      <c r="L59" s="4">
        <v>1.0585614202475471</v>
      </c>
      <c r="M59" s="4" t="s">
        <v>99</v>
      </c>
      <c r="N59" s="4">
        <v>0.98865307969919369</v>
      </c>
      <c r="O59" s="4">
        <v>0.98527254074687465</v>
      </c>
      <c r="P59" s="4" t="str">
        <f t="shared" si="3"/>
        <v>TRUE</v>
      </c>
      <c r="Q59" s="4" t="str">
        <f t="shared" si="4"/>
        <v>TRUE</v>
      </c>
    </row>
    <row r="60" spans="2:17" x14ac:dyDescent="0.2">
      <c r="B60" s="4" t="s">
        <v>89</v>
      </c>
      <c r="C60" s="4" t="s">
        <v>91</v>
      </c>
      <c r="D60" s="4" t="s">
        <v>95</v>
      </c>
      <c r="E60" s="4">
        <v>0.80260953324268625</v>
      </c>
      <c r="F60" s="4" t="str">
        <f t="shared" si="0"/>
        <v>TRUE</v>
      </c>
      <c r="G60" s="4">
        <v>5.0178481078635932E-3</v>
      </c>
      <c r="H60" s="4" t="str">
        <f t="shared" si="1"/>
        <v>TRUE</v>
      </c>
      <c r="I60" s="4">
        <v>14.016288449405231</v>
      </c>
      <c r="J60" s="4">
        <v>15.494300000000001</v>
      </c>
      <c r="K60" s="4" t="str">
        <f t="shared" si="2"/>
        <v>FALSE</v>
      </c>
      <c r="L60" s="4">
        <v>0.90460933694360024</v>
      </c>
      <c r="M60" s="4" t="s">
        <v>100</v>
      </c>
      <c r="N60" s="4">
        <v>0.98865305746854548</v>
      </c>
      <c r="O60" s="4">
        <v>0.98851213390828363</v>
      </c>
      <c r="P60" s="4" t="str">
        <f t="shared" si="3"/>
        <v>TRUE</v>
      </c>
      <c r="Q60" s="4" t="str">
        <f t="shared" si="4"/>
        <v>FALSE</v>
      </c>
    </row>
    <row r="61" spans="2:17" x14ac:dyDescent="0.2">
      <c r="B61" s="4" t="s">
        <v>89</v>
      </c>
      <c r="C61" s="4" t="s">
        <v>91</v>
      </c>
      <c r="D61" s="4" t="s">
        <v>97</v>
      </c>
      <c r="E61" s="4">
        <v>0.58818258849094385</v>
      </c>
      <c r="F61" s="4" t="str">
        <f t="shared" si="0"/>
        <v>FALSE</v>
      </c>
      <c r="G61" s="4">
        <v>0.49815582675323888</v>
      </c>
      <c r="H61" s="4" t="str">
        <f t="shared" si="1"/>
        <v>FALSE</v>
      </c>
      <c r="I61" s="4">
        <v>5.8501976530316169</v>
      </c>
      <c r="J61" s="4">
        <v>15.494300000000001</v>
      </c>
      <c r="K61" s="4" t="str">
        <f t="shared" si="2"/>
        <v>FALSE</v>
      </c>
      <c r="L61" s="4">
        <v>0.37757095532109342</v>
      </c>
      <c r="M61" s="4" t="s">
        <v>101</v>
      </c>
      <c r="N61" s="4">
        <v>0.98865307437928562</v>
      </c>
      <c r="O61" s="4">
        <v>0.68641832966051153</v>
      </c>
      <c r="P61" s="4" t="str">
        <f t="shared" si="3"/>
        <v>TRUE</v>
      </c>
      <c r="Q61" s="4" t="str">
        <f t="shared" si="4"/>
        <v>FALSE</v>
      </c>
    </row>
    <row r="62" spans="2:17" x14ac:dyDescent="0.2">
      <c r="B62" s="4" t="s">
        <v>89</v>
      </c>
      <c r="C62" s="4" t="s">
        <v>93</v>
      </c>
      <c r="D62" s="4" t="s">
        <v>95</v>
      </c>
      <c r="E62" s="4">
        <v>0.60339097700196398</v>
      </c>
      <c r="F62" s="4" t="str">
        <f t="shared" si="0"/>
        <v>TRUE</v>
      </c>
      <c r="G62" s="4">
        <v>4.6528983722556518E-2</v>
      </c>
      <c r="H62" s="4" t="str">
        <f t="shared" si="1"/>
        <v>TRUE</v>
      </c>
      <c r="I62" s="4">
        <v>10.78359359578806</v>
      </c>
      <c r="J62" s="4">
        <v>15.494300000000001</v>
      </c>
      <c r="K62" s="4" t="str">
        <f t="shared" si="2"/>
        <v>FALSE</v>
      </c>
      <c r="L62" s="4">
        <v>0.69597165382031223</v>
      </c>
      <c r="M62" s="4" t="s">
        <v>102</v>
      </c>
      <c r="N62" s="4">
        <v>0.98527254074687465</v>
      </c>
      <c r="O62" s="4">
        <v>0.98851212281567913</v>
      </c>
      <c r="P62" s="4" t="str">
        <f t="shared" si="3"/>
        <v>TRUE</v>
      </c>
      <c r="Q62" s="4" t="str">
        <f t="shared" si="4"/>
        <v>FALSE</v>
      </c>
    </row>
    <row r="63" spans="2:17" x14ac:dyDescent="0.2">
      <c r="B63" s="4" t="s">
        <v>89</v>
      </c>
      <c r="C63" s="4" t="s">
        <v>93</v>
      </c>
      <c r="D63" s="4" t="s">
        <v>97</v>
      </c>
      <c r="E63" s="4">
        <v>0.54814526152587928</v>
      </c>
      <c r="F63" s="4" t="str">
        <f t="shared" si="0"/>
        <v>FALSE</v>
      </c>
      <c r="G63" s="4">
        <v>0.25315939246245539</v>
      </c>
      <c r="H63" s="4" t="str">
        <f t="shared" si="1"/>
        <v>FALSE</v>
      </c>
      <c r="I63" s="4">
        <v>6.7814605791079421</v>
      </c>
      <c r="J63" s="4">
        <v>15.494300000000001</v>
      </c>
      <c r="K63" s="4" t="str">
        <f t="shared" si="2"/>
        <v>FALSE</v>
      </c>
      <c r="L63" s="4">
        <v>0.43767453703025899</v>
      </c>
      <c r="M63" s="4" t="s">
        <v>103</v>
      </c>
      <c r="N63" s="4">
        <v>0.98527254074687465</v>
      </c>
      <c r="O63" s="4">
        <v>0.68641832966051153</v>
      </c>
      <c r="P63" s="4" t="str">
        <f t="shared" si="3"/>
        <v>TRUE</v>
      </c>
      <c r="Q63" s="4" t="str">
        <f t="shared" si="4"/>
        <v>FALSE</v>
      </c>
    </row>
    <row r="64" spans="2:17" x14ac:dyDescent="0.2">
      <c r="B64" s="4" t="s">
        <v>89</v>
      </c>
      <c r="C64" s="4" t="s">
        <v>95</v>
      </c>
      <c r="D64" s="4" t="s">
        <v>97</v>
      </c>
      <c r="E64" s="4">
        <v>0.54758236160928564</v>
      </c>
      <c r="F64" s="4" t="str">
        <f t="shared" si="0"/>
        <v>FALSE</v>
      </c>
      <c r="G64" s="4">
        <v>0.48855572989233748</v>
      </c>
      <c r="H64" s="4" t="str">
        <f t="shared" si="1"/>
        <v>FALSE</v>
      </c>
      <c r="I64" s="4">
        <v>5.6758408440812076</v>
      </c>
      <c r="J64" s="4">
        <v>15.494300000000001</v>
      </c>
      <c r="K64" s="4" t="str">
        <f t="shared" si="2"/>
        <v>FALSE</v>
      </c>
      <c r="L64" s="4">
        <v>0.36631799075022481</v>
      </c>
      <c r="M64" s="4" t="s">
        <v>104</v>
      </c>
      <c r="N64" s="4">
        <v>0.98851210727834082</v>
      </c>
      <c r="O64" s="4">
        <v>0.68641890927014859</v>
      </c>
      <c r="P64" s="4" t="str">
        <f t="shared" si="3"/>
        <v>TRUE</v>
      </c>
      <c r="Q64" s="4" t="str">
        <f t="shared" si="4"/>
        <v>FALSE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CCDB-40C4-3348-AE39-7F0F62D3D681}">
  <sheetPr filterMode="1"/>
  <dimension ref="B2:Q64"/>
  <sheetViews>
    <sheetView showGridLines="0" zoomScale="65" zoomScaleNormal="65" workbookViewId="0"/>
  </sheetViews>
  <sheetFormatPr baseColWidth="10" defaultColWidth="8.83203125" defaultRowHeight="15" x14ac:dyDescent="0.2"/>
  <cols>
    <col min="1" max="1" width="8.83203125" style="2" customWidth="1"/>
    <col min="2" max="2" width="18.6640625" style="2" bestFit="1" customWidth="1"/>
    <col min="3" max="4" width="14.33203125" style="2" bestFit="1" customWidth="1"/>
    <col min="5" max="5" width="17.33203125" style="2" customWidth="1"/>
    <col min="6" max="6" width="22.1640625" style="2" customWidth="1"/>
    <col min="7" max="7" width="17.6640625" style="2" bestFit="1" customWidth="1"/>
    <col min="8" max="8" width="33.5" style="2" customWidth="1"/>
    <col min="9" max="9" width="15.33203125" style="2" bestFit="1" customWidth="1"/>
    <col min="10" max="10" width="14.33203125" style="2" bestFit="1" customWidth="1"/>
    <col min="11" max="11" width="34" style="2" customWidth="1"/>
    <col min="12" max="12" width="15" style="2" customWidth="1"/>
    <col min="13" max="13" width="23.83203125" style="2" bestFit="1" customWidth="1"/>
    <col min="14" max="15" width="19.33203125" style="2" customWidth="1"/>
    <col min="16" max="16" width="33.83203125" style="2" bestFit="1" customWidth="1"/>
    <col min="17" max="17" width="20.1640625" style="2" customWidth="1"/>
    <col min="18" max="16384" width="8.83203125" style="2"/>
  </cols>
  <sheetData>
    <row r="2" spans="2:1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105</v>
      </c>
      <c r="G2" s="1" t="s">
        <v>4</v>
      </c>
      <c r="H2" s="1" t="s">
        <v>107</v>
      </c>
      <c r="I2" s="1" t="s">
        <v>5</v>
      </c>
      <c r="J2" s="1" t="s">
        <v>6</v>
      </c>
      <c r="K2" s="1" t="s">
        <v>108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106</v>
      </c>
      <c r="Q2" s="5" t="s">
        <v>109</v>
      </c>
    </row>
    <row r="3" spans="2:17" x14ac:dyDescent="0.2">
      <c r="B3" s="3" t="s">
        <v>11</v>
      </c>
      <c r="C3" s="3" t="s">
        <v>17</v>
      </c>
      <c r="D3" s="3" t="s">
        <v>19</v>
      </c>
      <c r="E3" s="3">
        <v>0.70287088601642167</v>
      </c>
      <c r="F3" s="3" t="str">
        <f>IF(E3&gt;0.6,"TRUE","FALSE")</f>
        <v>TRUE</v>
      </c>
      <c r="G3" s="3">
        <v>1.5194485543117061E-2</v>
      </c>
      <c r="H3" s="3" t="str">
        <f>IF(G3&lt;0.05,"TRUE","FALSE")</f>
        <v>TRUE</v>
      </c>
      <c r="I3" s="3">
        <v>17.693074462728141</v>
      </c>
      <c r="J3" s="3">
        <v>15.494300000000001</v>
      </c>
      <c r="K3" s="3" t="str">
        <f>IF(I3&gt;J3,"TRUE","FALSE")</f>
        <v>TRUE</v>
      </c>
      <c r="L3" s="3">
        <v>1.141908602694419</v>
      </c>
      <c r="M3" s="3" t="s">
        <v>26</v>
      </c>
      <c r="N3" s="3">
        <v>0.31932383892139848</v>
      </c>
      <c r="O3" s="3">
        <v>0.21582544301800929</v>
      </c>
      <c r="P3" s="3" t="str">
        <f>IF(AND(N3&gt;0.05,O3&gt;0.05),"TRUE","FALSE")</f>
        <v>TRUE</v>
      </c>
      <c r="Q3" s="3" t="str">
        <f>IF(AND(F3="TRUE",H3="TRUE",K3="TRUE"),"TRUE","FALSE")</f>
        <v>TRUE</v>
      </c>
    </row>
    <row r="4" spans="2:17" hidden="1" x14ac:dyDescent="0.2">
      <c r="B4" s="4" t="s">
        <v>11</v>
      </c>
      <c r="C4" s="4" t="s">
        <v>12</v>
      </c>
      <c r="D4" s="4" t="s">
        <v>13</v>
      </c>
      <c r="E4" s="4">
        <v>0.72749768455155661</v>
      </c>
      <c r="F4" s="4" t="str">
        <f t="shared" ref="F4:F64" si="0">IF(E4&gt;0.6,"TRUE","FALSE")</f>
        <v>TRUE</v>
      </c>
      <c r="G4" s="4">
        <v>0.62429039628086713</v>
      </c>
      <c r="H4" s="4" t="str">
        <f t="shared" ref="H4:H64" si="1">IF(G4&lt;0.05,"TRUE","FALSE")</f>
        <v>FALSE</v>
      </c>
      <c r="I4" s="4">
        <v>6.6403248632597434</v>
      </c>
      <c r="J4" s="4">
        <v>15.494300000000001</v>
      </c>
      <c r="K4" s="4" t="str">
        <f t="shared" ref="K4:K64" si="2">IF(I4&gt;J4,"TRUE","FALSE")</f>
        <v>FALSE</v>
      </c>
      <c r="L4" s="4">
        <v>0.42856565725845908</v>
      </c>
      <c r="M4" s="4" t="s">
        <v>14</v>
      </c>
      <c r="N4" s="4">
        <v>0.3173217908674919</v>
      </c>
      <c r="O4" s="4">
        <v>0.84535796127387708</v>
      </c>
      <c r="P4" s="4" t="str">
        <f t="shared" ref="P4:P64" si="3">IF(AND(N4&gt;0.05,O4&gt;0.05),"TRUE","FALSE")</f>
        <v>TRUE</v>
      </c>
      <c r="Q4" s="4" t="str">
        <f t="shared" ref="Q4:Q64" si="4">IF(AND(F4="TRUE",H4="TRUE",K4="TRUE"),"TRUE","FALSE")</f>
        <v>FALSE</v>
      </c>
    </row>
    <row r="5" spans="2:17" hidden="1" x14ac:dyDescent="0.2">
      <c r="B5" s="4" t="s">
        <v>11</v>
      </c>
      <c r="C5" s="4" t="s">
        <v>12</v>
      </c>
      <c r="D5" s="4" t="s">
        <v>15</v>
      </c>
      <c r="E5" s="4">
        <v>0.42420970367010441</v>
      </c>
      <c r="F5" s="4" t="str">
        <f t="shared" si="0"/>
        <v>FALSE</v>
      </c>
      <c r="G5" s="4">
        <v>0.35709247531911148</v>
      </c>
      <c r="H5" s="4" t="str">
        <f t="shared" si="1"/>
        <v>FALSE</v>
      </c>
      <c r="I5" s="4">
        <v>6.3509400549049086</v>
      </c>
      <c r="J5" s="4">
        <v>15.494300000000001</v>
      </c>
      <c r="K5" s="4" t="str">
        <f t="shared" si="2"/>
        <v>FALSE</v>
      </c>
      <c r="L5" s="4">
        <v>0.40988880135952632</v>
      </c>
      <c r="M5" s="4" t="s">
        <v>16</v>
      </c>
      <c r="N5" s="4">
        <v>0.34958102918731732</v>
      </c>
      <c r="O5" s="4">
        <v>0.54307138687575995</v>
      </c>
      <c r="P5" s="4" t="str">
        <f t="shared" si="3"/>
        <v>TRUE</v>
      </c>
      <c r="Q5" s="4" t="str">
        <f t="shared" si="4"/>
        <v>FALSE</v>
      </c>
    </row>
    <row r="6" spans="2:17" hidden="1" x14ac:dyDescent="0.2">
      <c r="B6" s="4" t="s">
        <v>11</v>
      </c>
      <c r="C6" s="4" t="s">
        <v>12</v>
      </c>
      <c r="D6" s="4" t="s">
        <v>17</v>
      </c>
      <c r="E6" s="4">
        <v>0.71728015041918947</v>
      </c>
      <c r="F6" s="4" t="str">
        <f t="shared" si="0"/>
        <v>TRUE</v>
      </c>
      <c r="G6" s="4">
        <v>0.35771167467376941</v>
      </c>
      <c r="H6" s="4" t="str">
        <f t="shared" si="1"/>
        <v>FALSE</v>
      </c>
      <c r="I6" s="4">
        <v>20.52401584368673</v>
      </c>
      <c r="J6" s="4">
        <v>15.494300000000001</v>
      </c>
      <c r="K6" s="4" t="str">
        <f t="shared" si="2"/>
        <v>TRUE</v>
      </c>
      <c r="L6" s="4">
        <v>1.324617171713903</v>
      </c>
      <c r="M6" s="4" t="s">
        <v>18</v>
      </c>
      <c r="N6" s="4">
        <v>0.31732174549165759</v>
      </c>
      <c r="O6" s="4">
        <v>0.32838241552466951</v>
      </c>
      <c r="P6" s="4" t="str">
        <f t="shared" si="3"/>
        <v>TRUE</v>
      </c>
      <c r="Q6" s="4" t="str">
        <f t="shared" si="4"/>
        <v>FALSE</v>
      </c>
    </row>
    <row r="7" spans="2:17" hidden="1" x14ac:dyDescent="0.2">
      <c r="B7" s="4" t="s">
        <v>11</v>
      </c>
      <c r="C7" s="4" t="s">
        <v>12</v>
      </c>
      <c r="D7" s="4" t="s">
        <v>19</v>
      </c>
      <c r="E7" s="4">
        <v>0.64072722207081034</v>
      </c>
      <c r="F7" s="4" t="str">
        <f t="shared" si="0"/>
        <v>TRUE</v>
      </c>
      <c r="G7" s="4">
        <v>7.2157364291649442E-2</v>
      </c>
      <c r="H7" s="4" t="str">
        <f t="shared" si="1"/>
        <v>FALSE</v>
      </c>
      <c r="I7" s="4">
        <v>30.276986545184219</v>
      </c>
      <c r="J7" s="4">
        <v>15.494300000000001</v>
      </c>
      <c r="K7" s="4" t="str">
        <f t="shared" si="2"/>
        <v>TRUE</v>
      </c>
      <c r="L7" s="4">
        <v>1.9540725650842059</v>
      </c>
      <c r="M7" s="4" t="s">
        <v>20</v>
      </c>
      <c r="N7" s="4">
        <v>0.31732186614194891</v>
      </c>
      <c r="O7" s="4">
        <v>0.21947609104270929</v>
      </c>
      <c r="P7" s="4" t="str">
        <f t="shared" si="3"/>
        <v>TRUE</v>
      </c>
      <c r="Q7" s="4" t="str">
        <f t="shared" si="4"/>
        <v>FALSE</v>
      </c>
    </row>
    <row r="8" spans="2:17" hidden="1" x14ac:dyDescent="0.2">
      <c r="B8" s="4" t="s">
        <v>11</v>
      </c>
      <c r="C8" s="4" t="s">
        <v>13</v>
      </c>
      <c r="D8" s="4" t="s">
        <v>15</v>
      </c>
      <c r="E8" s="4">
        <v>0.30862349718332038</v>
      </c>
      <c r="F8" s="4" t="str">
        <f t="shared" si="0"/>
        <v>FALSE</v>
      </c>
      <c r="G8" s="4">
        <v>0.7575530651481398</v>
      </c>
      <c r="H8" s="4" t="str">
        <f t="shared" si="1"/>
        <v>FALSE</v>
      </c>
      <c r="I8" s="4">
        <v>10.678160777180929</v>
      </c>
      <c r="J8" s="4">
        <v>15.494300000000001</v>
      </c>
      <c r="K8" s="4" t="str">
        <f t="shared" si="2"/>
        <v>FALSE</v>
      </c>
      <c r="L8" s="4">
        <v>0.6891670341468108</v>
      </c>
      <c r="M8" s="4" t="s">
        <v>21</v>
      </c>
      <c r="N8" s="4">
        <v>0.90136916486772134</v>
      </c>
      <c r="O8" s="4">
        <v>0.54307129766617723</v>
      </c>
      <c r="P8" s="4" t="str">
        <f t="shared" si="3"/>
        <v>TRUE</v>
      </c>
      <c r="Q8" s="4" t="str">
        <f t="shared" si="4"/>
        <v>FALSE</v>
      </c>
    </row>
    <row r="9" spans="2:17" hidden="1" x14ac:dyDescent="0.2">
      <c r="B9" s="4" t="s">
        <v>11</v>
      </c>
      <c r="C9" s="4" t="s">
        <v>13</v>
      </c>
      <c r="D9" s="4" t="s">
        <v>17</v>
      </c>
      <c r="E9" s="4">
        <v>0.56210058301480115</v>
      </c>
      <c r="F9" s="4" t="str">
        <f t="shared" si="0"/>
        <v>FALSE</v>
      </c>
      <c r="G9" s="4">
        <v>0.96465219762700027</v>
      </c>
      <c r="H9" s="4" t="str">
        <f t="shared" si="1"/>
        <v>FALSE</v>
      </c>
      <c r="I9" s="4">
        <v>9.5410349446592715</v>
      </c>
      <c r="J9" s="4">
        <v>15.494300000000001</v>
      </c>
      <c r="K9" s="4" t="str">
        <f t="shared" si="2"/>
        <v>FALSE</v>
      </c>
      <c r="L9" s="4">
        <v>0.61577708864932723</v>
      </c>
      <c r="M9" s="4" t="s">
        <v>22</v>
      </c>
      <c r="N9" s="4">
        <v>0.85042357981886141</v>
      </c>
      <c r="O9" s="4">
        <v>0.31932363026572352</v>
      </c>
      <c r="P9" s="4" t="str">
        <f t="shared" si="3"/>
        <v>TRUE</v>
      </c>
      <c r="Q9" s="4" t="str">
        <f t="shared" si="4"/>
        <v>FALSE</v>
      </c>
    </row>
    <row r="10" spans="2:17" hidden="1" x14ac:dyDescent="0.2">
      <c r="B10" s="4" t="s">
        <v>11</v>
      </c>
      <c r="C10" s="4" t="s">
        <v>13</v>
      </c>
      <c r="D10" s="4" t="s">
        <v>19</v>
      </c>
      <c r="E10" s="4">
        <v>0.6110558099619432</v>
      </c>
      <c r="F10" s="4" t="str">
        <f t="shared" si="0"/>
        <v>TRUE</v>
      </c>
      <c r="G10" s="4">
        <v>0.97909985899691887</v>
      </c>
      <c r="H10" s="4" t="str">
        <f t="shared" si="1"/>
        <v>FALSE</v>
      </c>
      <c r="I10" s="4">
        <v>12.6254916304062</v>
      </c>
      <c r="J10" s="4">
        <v>15.494300000000001</v>
      </c>
      <c r="K10" s="4" t="str">
        <f t="shared" si="2"/>
        <v>FALSE</v>
      </c>
      <c r="L10" s="4">
        <v>0.81484750072001932</v>
      </c>
      <c r="M10" s="4" t="s">
        <v>23</v>
      </c>
      <c r="N10" s="4">
        <v>0.8504236925828208</v>
      </c>
      <c r="O10" s="4">
        <v>0.21582542877548139</v>
      </c>
      <c r="P10" s="4" t="str">
        <f t="shared" si="3"/>
        <v>TRUE</v>
      </c>
      <c r="Q10" s="4" t="str">
        <f t="shared" si="4"/>
        <v>FALSE</v>
      </c>
    </row>
    <row r="11" spans="2:17" hidden="1" x14ac:dyDescent="0.2">
      <c r="B11" s="4" t="s">
        <v>11</v>
      </c>
      <c r="C11" s="4" t="s">
        <v>15</v>
      </c>
      <c r="D11" s="4" t="s">
        <v>17</v>
      </c>
      <c r="E11" s="4">
        <v>0.5250660782914589</v>
      </c>
      <c r="F11" s="4" t="str">
        <f t="shared" si="0"/>
        <v>FALSE</v>
      </c>
      <c r="G11" s="4">
        <v>0.59810242889079934</v>
      </c>
      <c r="H11" s="4" t="str">
        <f t="shared" si="1"/>
        <v>FALSE</v>
      </c>
      <c r="I11" s="4">
        <v>7.870858334406333</v>
      </c>
      <c r="J11" s="4">
        <v>15.494300000000001</v>
      </c>
      <c r="K11" s="4" t="str">
        <f t="shared" si="2"/>
        <v>FALSE</v>
      </c>
      <c r="L11" s="4">
        <v>0.50798411896028428</v>
      </c>
      <c r="M11" s="4" t="s">
        <v>24</v>
      </c>
      <c r="N11" s="4">
        <v>0.54307099640537337</v>
      </c>
      <c r="O11" s="4">
        <v>0.31996669391535448</v>
      </c>
      <c r="P11" s="4" t="str">
        <f t="shared" si="3"/>
        <v>TRUE</v>
      </c>
      <c r="Q11" s="4" t="str">
        <f t="shared" si="4"/>
        <v>FALSE</v>
      </c>
    </row>
    <row r="12" spans="2:17" hidden="1" x14ac:dyDescent="0.2">
      <c r="B12" s="4" t="s">
        <v>11</v>
      </c>
      <c r="C12" s="4" t="s">
        <v>15</v>
      </c>
      <c r="D12" s="4" t="s">
        <v>19</v>
      </c>
      <c r="E12" s="4">
        <v>0.50853885084984307</v>
      </c>
      <c r="F12" s="4" t="str">
        <f t="shared" si="0"/>
        <v>FALSE</v>
      </c>
      <c r="G12" s="4">
        <v>0.39722239752149402</v>
      </c>
      <c r="H12" s="4" t="str">
        <f t="shared" si="1"/>
        <v>FALSE</v>
      </c>
      <c r="I12" s="4">
        <v>11.773873520418361</v>
      </c>
      <c r="J12" s="4">
        <v>15.494300000000001</v>
      </c>
      <c r="K12" s="4" t="str">
        <f t="shared" si="2"/>
        <v>FALSE</v>
      </c>
      <c r="L12" s="4">
        <v>0.75988418453356155</v>
      </c>
      <c r="M12" s="4" t="s">
        <v>25</v>
      </c>
      <c r="N12" s="4">
        <v>0.54307201703652463</v>
      </c>
      <c r="O12" s="4">
        <v>0.27090045218067482</v>
      </c>
      <c r="P12" s="4" t="str">
        <f t="shared" si="3"/>
        <v>TRUE</v>
      </c>
      <c r="Q12" s="4" t="str">
        <f t="shared" si="4"/>
        <v>FALSE</v>
      </c>
    </row>
    <row r="13" spans="2:17" hidden="1" x14ac:dyDescent="0.2">
      <c r="B13" s="4" t="s">
        <v>27</v>
      </c>
      <c r="C13" s="4" t="s">
        <v>28</v>
      </c>
      <c r="D13" s="4" t="s">
        <v>29</v>
      </c>
      <c r="E13" s="4">
        <v>0.68090445775140118</v>
      </c>
      <c r="F13" s="4" t="str">
        <f t="shared" si="0"/>
        <v>TRUE</v>
      </c>
      <c r="G13" s="4">
        <v>8.3521356467687158E-2</v>
      </c>
      <c r="H13" s="4" t="str">
        <f t="shared" si="1"/>
        <v>FALSE</v>
      </c>
      <c r="I13" s="4">
        <v>9.8731980554913878</v>
      </c>
      <c r="J13" s="4">
        <v>15.494300000000001</v>
      </c>
      <c r="K13" s="4" t="str">
        <f t="shared" si="2"/>
        <v>FALSE</v>
      </c>
      <c r="L13" s="4">
        <v>0.63721485033150171</v>
      </c>
      <c r="M13" s="4" t="s">
        <v>30</v>
      </c>
      <c r="N13" s="4">
        <v>0.78923928616236816</v>
      </c>
      <c r="O13" s="4">
        <v>0.39769452793513588</v>
      </c>
      <c r="P13" s="4" t="str">
        <f t="shared" si="3"/>
        <v>TRUE</v>
      </c>
      <c r="Q13" s="4" t="str">
        <f t="shared" si="4"/>
        <v>FALSE</v>
      </c>
    </row>
    <row r="14" spans="2:17" hidden="1" x14ac:dyDescent="0.2">
      <c r="B14" s="4" t="s">
        <v>27</v>
      </c>
      <c r="C14" s="4" t="s">
        <v>28</v>
      </c>
      <c r="D14" s="4" t="s">
        <v>31</v>
      </c>
      <c r="E14" s="4">
        <v>0.83744841818422311</v>
      </c>
      <c r="F14" s="4" t="str">
        <f t="shared" si="0"/>
        <v>TRUE</v>
      </c>
      <c r="G14" s="4">
        <v>0.1088658253601836</v>
      </c>
      <c r="H14" s="4" t="str">
        <f t="shared" si="1"/>
        <v>FALSE</v>
      </c>
      <c r="I14" s="4">
        <v>7.3854599333237738</v>
      </c>
      <c r="J14" s="4">
        <v>15.494300000000001</v>
      </c>
      <c r="K14" s="4" t="str">
        <f t="shared" si="2"/>
        <v>FALSE</v>
      </c>
      <c r="L14" s="4">
        <v>0.47665657263146921</v>
      </c>
      <c r="M14" s="4" t="s">
        <v>32</v>
      </c>
      <c r="N14" s="4">
        <v>0.78923928616236816</v>
      </c>
      <c r="O14" s="4">
        <v>0.86537361118167189</v>
      </c>
      <c r="P14" s="4" t="str">
        <f t="shared" si="3"/>
        <v>TRUE</v>
      </c>
      <c r="Q14" s="4" t="str">
        <f t="shared" si="4"/>
        <v>FALSE</v>
      </c>
    </row>
    <row r="15" spans="2:17" hidden="1" x14ac:dyDescent="0.2">
      <c r="B15" s="4" t="s">
        <v>27</v>
      </c>
      <c r="C15" s="4" t="s">
        <v>28</v>
      </c>
      <c r="D15" s="4" t="s">
        <v>33</v>
      </c>
      <c r="E15" s="4">
        <v>0.75889808026311867</v>
      </c>
      <c r="F15" s="4" t="str">
        <f t="shared" si="0"/>
        <v>TRUE</v>
      </c>
      <c r="G15" s="4">
        <v>9.4827093997616907E-2</v>
      </c>
      <c r="H15" s="4" t="str">
        <f t="shared" si="1"/>
        <v>FALSE</v>
      </c>
      <c r="I15" s="4">
        <v>9.1581054413821565</v>
      </c>
      <c r="J15" s="4">
        <v>15.494300000000001</v>
      </c>
      <c r="K15" s="4" t="str">
        <f t="shared" si="2"/>
        <v>FALSE</v>
      </c>
      <c r="L15" s="4">
        <v>0.59106287095139221</v>
      </c>
      <c r="M15" s="4" t="s">
        <v>34</v>
      </c>
      <c r="N15" s="4">
        <v>0.78923900720206452</v>
      </c>
      <c r="O15" s="4">
        <v>0.6770574608229496</v>
      </c>
      <c r="P15" s="4" t="str">
        <f t="shared" si="3"/>
        <v>TRUE</v>
      </c>
      <c r="Q15" s="4" t="str">
        <f t="shared" si="4"/>
        <v>FALSE</v>
      </c>
    </row>
    <row r="16" spans="2:17" hidden="1" x14ac:dyDescent="0.2">
      <c r="B16" s="4" t="s">
        <v>27</v>
      </c>
      <c r="C16" s="4" t="s">
        <v>29</v>
      </c>
      <c r="D16" s="4" t="s">
        <v>31</v>
      </c>
      <c r="E16" s="4">
        <v>0.7211459158271506</v>
      </c>
      <c r="F16" s="4" t="str">
        <f t="shared" si="0"/>
        <v>TRUE</v>
      </c>
      <c r="G16" s="4">
        <v>5.647033247690695E-2</v>
      </c>
      <c r="H16" s="4" t="str">
        <f t="shared" si="1"/>
        <v>FALSE</v>
      </c>
      <c r="I16" s="4">
        <v>8.0674922386898817</v>
      </c>
      <c r="J16" s="4">
        <v>15.494300000000001</v>
      </c>
      <c r="K16" s="4" t="str">
        <f t="shared" si="2"/>
        <v>FALSE</v>
      </c>
      <c r="L16" s="4">
        <v>0.52067484421302557</v>
      </c>
      <c r="M16" s="4" t="s">
        <v>35</v>
      </c>
      <c r="N16" s="4">
        <v>0.39769455002440762</v>
      </c>
      <c r="O16" s="4">
        <v>0.86537380617330817</v>
      </c>
      <c r="P16" s="4" t="str">
        <f t="shared" si="3"/>
        <v>TRUE</v>
      </c>
      <c r="Q16" s="4" t="str">
        <f t="shared" si="4"/>
        <v>FALSE</v>
      </c>
    </row>
    <row r="17" spans="2:17" hidden="1" x14ac:dyDescent="0.2">
      <c r="B17" s="4" t="s">
        <v>27</v>
      </c>
      <c r="C17" s="4" t="s">
        <v>29</v>
      </c>
      <c r="D17" s="4" t="s">
        <v>33</v>
      </c>
      <c r="E17" s="4">
        <v>0.68898723704133247</v>
      </c>
      <c r="F17" s="4" t="str">
        <f t="shared" si="0"/>
        <v>TRUE</v>
      </c>
      <c r="G17" s="4">
        <v>4.9738497768409232E-2</v>
      </c>
      <c r="H17" s="4" t="str">
        <f t="shared" si="1"/>
        <v>TRUE</v>
      </c>
      <c r="I17" s="4">
        <v>9.0650797921892696</v>
      </c>
      <c r="J17" s="4">
        <v>15.494300000000001</v>
      </c>
      <c r="K17" s="4" t="str">
        <f t="shared" si="2"/>
        <v>FALSE</v>
      </c>
      <c r="L17" s="4">
        <v>0.58505900829267987</v>
      </c>
      <c r="M17" s="4" t="s">
        <v>36</v>
      </c>
      <c r="N17" s="4">
        <v>0.39769408026874481</v>
      </c>
      <c r="O17" s="4">
        <v>0.67705675373784224</v>
      </c>
      <c r="P17" s="4" t="str">
        <f t="shared" si="3"/>
        <v>TRUE</v>
      </c>
      <c r="Q17" s="4" t="str">
        <f t="shared" si="4"/>
        <v>FALSE</v>
      </c>
    </row>
    <row r="18" spans="2:17" hidden="1" x14ac:dyDescent="0.2">
      <c r="B18" s="4" t="s">
        <v>27</v>
      </c>
      <c r="C18" s="4" t="s">
        <v>31</v>
      </c>
      <c r="D18" s="4" t="s">
        <v>33</v>
      </c>
      <c r="E18" s="4">
        <v>0.82568931883903474</v>
      </c>
      <c r="F18" s="4" t="str">
        <f t="shared" si="0"/>
        <v>TRUE</v>
      </c>
      <c r="G18" s="4">
        <v>5.3229809755071852E-3</v>
      </c>
      <c r="H18" s="4" t="str">
        <f t="shared" si="1"/>
        <v>TRUE</v>
      </c>
      <c r="I18" s="4">
        <v>13.654984867311249</v>
      </c>
      <c r="J18" s="4">
        <v>15.494300000000001</v>
      </c>
      <c r="K18" s="4" t="str">
        <f t="shared" si="2"/>
        <v>FALSE</v>
      </c>
      <c r="L18" s="4">
        <v>0.88129085323707756</v>
      </c>
      <c r="M18" s="4" t="s">
        <v>37</v>
      </c>
      <c r="N18" s="4">
        <v>0.86537398864997062</v>
      </c>
      <c r="O18" s="4">
        <v>0.67705778127550109</v>
      </c>
      <c r="P18" s="4" t="str">
        <f t="shared" si="3"/>
        <v>TRUE</v>
      </c>
      <c r="Q18" s="4" t="str">
        <f t="shared" si="4"/>
        <v>FALSE</v>
      </c>
    </row>
    <row r="19" spans="2:17" hidden="1" x14ac:dyDescent="0.2">
      <c r="B19" s="4" t="s">
        <v>38</v>
      </c>
      <c r="C19" s="4" t="s">
        <v>39</v>
      </c>
      <c r="D19" s="4" t="s">
        <v>40</v>
      </c>
      <c r="E19" s="4">
        <v>0.8056668665121649</v>
      </c>
      <c r="F19" s="4" t="str">
        <f t="shared" si="0"/>
        <v>TRUE</v>
      </c>
      <c r="G19" s="4">
        <v>0.16346046169797401</v>
      </c>
      <c r="H19" s="4" t="str">
        <f t="shared" si="1"/>
        <v>FALSE</v>
      </c>
      <c r="I19" s="4">
        <v>10.038340648284979</v>
      </c>
      <c r="J19" s="4">
        <v>15.494300000000001</v>
      </c>
      <c r="K19" s="4" t="str">
        <f t="shared" si="2"/>
        <v>FALSE</v>
      </c>
      <c r="L19" s="4">
        <v>0.64787313065352903</v>
      </c>
      <c r="M19" s="4" t="s">
        <v>41</v>
      </c>
      <c r="N19" s="4">
        <v>0.98960362754925191</v>
      </c>
      <c r="O19" s="4">
        <v>0.8133624038053725</v>
      </c>
      <c r="P19" s="4" t="str">
        <f t="shared" si="3"/>
        <v>TRUE</v>
      </c>
      <c r="Q19" s="4" t="str">
        <f t="shared" si="4"/>
        <v>FALSE</v>
      </c>
    </row>
    <row r="20" spans="2:17" hidden="1" x14ac:dyDescent="0.2">
      <c r="B20" s="4" t="s">
        <v>38</v>
      </c>
      <c r="C20" s="4" t="s">
        <v>39</v>
      </c>
      <c r="D20" s="4" t="s">
        <v>42</v>
      </c>
      <c r="E20" s="4">
        <v>0.7229826541268668</v>
      </c>
      <c r="F20" s="4" t="str">
        <f t="shared" si="0"/>
        <v>TRUE</v>
      </c>
      <c r="G20" s="4">
        <v>0.95942140167403345</v>
      </c>
      <c r="H20" s="4" t="str">
        <f t="shared" si="1"/>
        <v>FALSE</v>
      </c>
      <c r="I20" s="4">
        <v>7.9021033135501311</v>
      </c>
      <c r="J20" s="4">
        <v>15.494300000000001</v>
      </c>
      <c r="K20" s="4" t="str">
        <f t="shared" si="2"/>
        <v>FALSE</v>
      </c>
      <c r="L20" s="4">
        <v>0.51000066563511293</v>
      </c>
      <c r="M20" s="4" t="s">
        <v>43</v>
      </c>
      <c r="N20" s="4">
        <v>0.98960365572959685</v>
      </c>
      <c r="O20" s="4">
        <v>0.53809298910216097</v>
      </c>
      <c r="P20" s="4" t="str">
        <f t="shared" si="3"/>
        <v>TRUE</v>
      </c>
      <c r="Q20" s="4" t="str">
        <f t="shared" si="4"/>
        <v>FALSE</v>
      </c>
    </row>
    <row r="21" spans="2:17" hidden="1" x14ac:dyDescent="0.2">
      <c r="B21" s="4" t="s">
        <v>38</v>
      </c>
      <c r="C21" s="4" t="s">
        <v>39</v>
      </c>
      <c r="D21" s="4" t="s">
        <v>44</v>
      </c>
      <c r="E21" s="4">
        <v>0.73475390211723202</v>
      </c>
      <c r="F21" s="4" t="str">
        <f t="shared" si="0"/>
        <v>TRUE</v>
      </c>
      <c r="G21" s="4">
        <v>0.51408747313077052</v>
      </c>
      <c r="H21" s="4" t="str">
        <f t="shared" si="1"/>
        <v>FALSE</v>
      </c>
      <c r="I21" s="4">
        <v>8.0973171540470776</v>
      </c>
      <c r="J21" s="4">
        <v>15.494300000000001</v>
      </c>
      <c r="K21" s="4" t="str">
        <f t="shared" si="2"/>
        <v>FALSE</v>
      </c>
      <c r="L21" s="4">
        <v>0.52259974016554978</v>
      </c>
      <c r="M21" s="4" t="s">
        <v>45</v>
      </c>
      <c r="N21" s="4">
        <v>0.98960360401549141</v>
      </c>
      <c r="O21" s="4">
        <v>0.84472784896823871</v>
      </c>
      <c r="P21" s="4" t="str">
        <f t="shared" si="3"/>
        <v>TRUE</v>
      </c>
      <c r="Q21" s="4" t="str">
        <f t="shared" si="4"/>
        <v>FALSE</v>
      </c>
    </row>
    <row r="22" spans="2:17" hidden="1" x14ac:dyDescent="0.2">
      <c r="B22" s="4" t="s">
        <v>38</v>
      </c>
      <c r="C22" s="4" t="s">
        <v>39</v>
      </c>
      <c r="D22" s="4" t="s">
        <v>46</v>
      </c>
      <c r="E22" s="4">
        <v>0.82503963374949996</v>
      </c>
      <c r="F22" s="4" t="str">
        <f t="shared" si="0"/>
        <v>TRUE</v>
      </c>
      <c r="G22" s="4">
        <v>0.77435136541870753</v>
      </c>
      <c r="H22" s="4" t="str">
        <f t="shared" si="1"/>
        <v>FALSE</v>
      </c>
      <c r="I22" s="4">
        <v>5.2008862470897181</v>
      </c>
      <c r="J22" s="4">
        <v>15.494300000000001</v>
      </c>
      <c r="K22" s="4" t="str">
        <f t="shared" si="2"/>
        <v>FALSE</v>
      </c>
      <c r="L22" s="4">
        <v>0.33566448610713079</v>
      </c>
      <c r="M22" s="4" t="s">
        <v>47</v>
      </c>
      <c r="N22" s="4">
        <v>0.9896036406555504</v>
      </c>
      <c r="O22" s="4">
        <v>0.85092829897121525</v>
      </c>
      <c r="P22" s="4" t="str">
        <f t="shared" si="3"/>
        <v>TRUE</v>
      </c>
      <c r="Q22" s="4" t="str">
        <f t="shared" si="4"/>
        <v>FALSE</v>
      </c>
    </row>
    <row r="23" spans="2:17" hidden="1" x14ac:dyDescent="0.2">
      <c r="B23" s="4" t="s">
        <v>38</v>
      </c>
      <c r="C23" s="4" t="s">
        <v>39</v>
      </c>
      <c r="D23" s="4" t="s">
        <v>48</v>
      </c>
      <c r="E23" s="4">
        <v>0.81780025994967664</v>
      </c>
      <c r="F23" s="4" t="str">
        <f t="shared" si="0"/>
        <v>TRUE</v>
      </c>
      <c r="G23" s="4">
        <v>0.87948256924485912</v>
      </c>
      <c r="H23" s="4" t="str">
        <f t="shared" si="1"/>
        <v>FALSE</v>
      </c>
      <c r="I23" s="4">
        <v>6.5736097188213538</v>
      </c>
      <c r="J23" s="4">
        <v>15.494300000000001</v>
      </c>
      <c r="K23" s="4" t="str">
        <f t="shared" si="2"/>
        <v>FALSE</v>
      </c>
      <c r="L23" s="4">
        <v>0.42425987097328388</v>
      </c>
      <c r="M23" s="4" t="s">
        <v>49</v>
      </c>
      <c r="N23" s="4">
        <v>0.98960357634936147</v>
      </c>
      <c r="O23" s="4">
        <v>0.69891922551425889</v>
      </c>
      <c r="P23" s="4" t="str">
        <f t="shared" si="3"/>
        <v>TRUE</v>
      </c>
      <c r="Q23" s="4" t="str">
        <f t="shared" si="4"/>
        <v>FALSE</v>
      </c>
    </row>
    <row r="24" spans="2:17" hidden="1" x14ac:dyDescent="0.2">
      <c r="B24" s="4" t="s">
        <v>38</v>
      </c>
      <c r="C24" s="4" t="s">
        <v>40</v>
      </c>
      <c r="D24" s="4" t="s">
        <v>42</v>
      </c>
      <c r="E24" s="4">
        <v>0.62094925286709879</v>
      </c>
      <c r="F24" s="4" t="str">
        <f t="shared" si="0"/>
        <v>TRUE</v>
      </c>
      <c r="G24" s="4">
        <v>0.42453968510540968</v>
      </c>
      <c r="H24" s="4" t="str">
        <f t="shared" si="1"/>
        <v>FALSE</v>
      </c>
      <c r="I24" s="4">
        <v>6.5181340940934387</v>
      </c>
      <c r="J24" s="4">
        <v>15.494300000000001</v>
      </c>
      <c r="K24" s="4" t="str">
        <f t="shared" si="2"/>
        <v>FALSE</v>
      </c>
      <c r="L24" s="4">
        <v>0.42067948175093017</v>
      </c>
      <c r="M24" s="4" t="s">
        <v>50</v>
      </c>
      <c r="N24" s="4">
        <v>0.81336280068982858</v>
      </c>
      <c r="O24" s="4">
        <v>0.53809279647730968</v>
      </c>
      <c r="P24" s="4" t="str">
        <f t="shared" si="3"/>
        <v>TRUE</v>
      </c>
      <c r="Q24" s="4" t="str">
        <f t="shared" si="4"/>
        <v>FALSE</v>
      </c>
    </row>
    <row r="25" spans="2:17" hidden="1" x14ac:dyDescent="0.2">
      <c r="B25" s="4" t="s">
        <v>38</v>
      </c>
      <c r="C25" s="4" t="s">
        <v>40</v>
      </c>
      <c r="D25" s="4" t="s">
        <v>44</v>
      </c>
      <c r="E25" s="4">
        <v>0.60778074021588169</v>
      </c>
      <c r="F25" s="4" t="str">
        <f t="shared" si="0"/>
        <v>TRUE</v>
      </c>
      <c r="G25" s="4">
        <v>8.0754587199792727E-2</v>
      </c>
      <c r="H25" s="4" t="str">
        <f t="shared" si="1"/>
        <v>FALSE</v>
      </c>
      <c r="I25" s="4">
        <v>8.4092122776626823</v>
      </c>
      <c r="J25" s="4">
        <v>15.494300000000001</v>
      </c>
      <c r="K25" s="4" t="str">
        <f t="shared" si="2"/>
        <v>FALSE</v>
      </c>
      <c r="L25" s="4">
        <v>0.54272940872854414</v>
      </c>
      <c r="M25" s="4" t="s">
        <v>51</v>
      </c>
      <c r="N25" s="4">
        <v>0.81336303968557266</v>
      </c>
      <c r="O25" s="4">
        <v>0.84472784345360441</v>
      </c>
      <c r="P25" s="4" t="str">
        <f t="shared" si="3"/>
        <v>TRUE</v>
      </c>
      <c r="Q25" s="4" t="str">
        <f t="shared" si="4"/>
        <v>FALSE</v>
      </c>
    </row>
    <row r="26" spans="2:17" hidden="1" x14ac:dyDescent="0.2">
      <c r="B26" s="4" t="s">
        <v>38</v>
      </c>
      <c r="C26" s="4" t="s">
        <v>40</v>
      </c>
      <c r="D26" s="4" t="s">
        <v>46</v>
      </c>
      <c r="E26" s="4">
        <v>0.81284964549124616</v>
      </c>
      <c r="F26" s="4" t="str">
        <f t="shared" si="0"/>
        <v>TRUE</v>
      </c>
      <c r="G26" s="4">
        <v>2.3239007170926099E-2</v>
      </c>
      <c r="H26" s="4" t="str">
        <f t="shared" si="1"/>
        <v>TRUE</v>
      </c>
      <c r="I26" s="4">
        <v>10.840417969111151</v>
      </c>
      <c r="J26" s="4">
        <v>15.494300000000001</v>
      </c>
      <c r="K26" s="4" t="str">
        <f t="shared" si="2"/>
        <v>FALSE</v>
      </c>
      <c r="L26" s="4">
        <v>0.69963909109228206</v>
      </c>
      <c r="M26" s="4" t="s">
        <v>52</v>
      </c>
      <c r="N26" s="4">
        <v>0.81336280068982858</v>
      </c>
      <c r="O26" s="4">
        <v>0.85092835111049225</v>
      </c>
      <c r="P26" s="4" t="str">
        <f t="shared" si="3"/>
        <v>TRUE</v>
      </c>
      <c r="Q26" s="4" t="str">
        <f t="shared" si="4"/>
        <v>FALSE</v>
      </c>
    </row>
    <row r="27" spans="2:17" hidden="1" x14ac:dyDescent="0.2">
      <c r="B27" s="4" t="s">
        <v>38</v>
      </c>
      <c r="C27" s="4" t="s">
        <v>40</v>
      </c>
      <c r="D27" s="4" t="s">
        <v>48</v>
      </c>
      <c r="E27" s="4">
        <v>0.85697623947330603</v>
      </c>
      <c r="F27" s="4" t="str">
        <f t="shared" si="0"/>
        <v>TRUE</v>
      </c>
      <c r="G27" s="4">
        <v>0.28558265165915969</v>
      </c>
      <c r="H27" s="4" t="str">
        <f t="shared" si="1"/>
        <v>FALSE</v>
      </c>
      <c r="I27" s="4">
        <v>6.3598566774494172</v>
      </c>
      <c r="J27" s="4">
        <v>15.494300000000001</v>
      </c>
      <c r="K27" s="4" t="str">
        <f t="shared" si="2"/>
        <v>FALSE</v>
      </c>
      <c r="L27" s="4">
        <v>0.41046427895738541</v>
      </c>
      <c r="M27" s="4" t="s">
        <v>53</v>
      </c>
      <c r="N27" s="4">
        <v>0.81336302476566014</v>
      </c>
      <c r="O27" s="4">
        <v>0.69891900555719089</v>
      </c>
      <c r="P27" s="4" t="str">
        <f t="shared" si="3"/>
        <v>TRUE</v>
      </c>
      <c r="Q27" s="4" t="str">
        <f t="shared" si="4"/>
        <v>FALSE</v>
      </c>
    </row>
    <row r="28" spans="2:17" hidden="1" x14ac:dyDescent="0.2">
      <c r="B28" s="4" t="s">
        <v>38</v>
      </c>
      <c r="C28" s="4" t="s">
        <v>42</v>
      </c>
      <c r="D28" s="4" t="s">
        <v>44</v>
      </c>
      <c r="E28" s="4">
        <v>0.82795743334313165</v>
      </c>
      <c r="F28" s="4" t="str">
        <f t="shared" si="0"/>
        <v>TRUE</v>
      </c>
      <c r="G28" s="4">
        <v>0.51412358425708649</v>
      </c>
      <c r="H28" s="4" t="str">
        <f t="shared" si="1"/>
        <v>FALSE</v>
      </c>
      <c r="I28" s="4">
        <v>5.1421069808040967</v>
      </c>
      <c r="J28" s="4">
        <v>15.494300000000001</v>
      </c>
      <c r="K28" s="4" t="str">
        <f t="shared" si="2"/>
        <v>FALSE</v>
      </c>
      <c r="L28" s="4">
        <v>0.33187088031108841</v>
      </c>
      <c r="M28" s="4" t="s">
        <v>54</v>
      </c>
      <c r="N28" s="4">
        <v>0.53809258992110043</v>
      </c>
      <c r="O28" s="4">
        <v>0.84472792579861</v>
      </c>
      <c r="P28" s="4" t="str">
        <f t="shared" si="3"/>
        <v>TRUE</v>
      </c>
      <c r="Q28" s="4" t="str">
        <f t="shared" si="4"/>
        <v>FALSE</v>
      </c>
    </row>
    <row r="29" spans="2:17" hidden="1" x14ac:dyDescent="0.2">
      <c r="B29" s="4" t="s">
        <v>38</v>
      </c>
      <c r="C29" s="4" t="s">
        <v>42</v>
      </c>
      <c r="D29" s="4" t="s">
        <v>46</v>
      </c>
      <c r="E29" s="4">
        <v>0.69456957137456588</v>
      </c>
      <c r="F29" s="4" t="str">
        <f t="shared" si="0"/>
        <v>TRUE</v>
      </c>
      <c r="G29" s="4">
        <v>0.1069501141843132</v>
      </c>
      <c r="H29" s="4" t="str">
        <f t="shared" si="1"/>
        <v>FALSE</v>
      </c>
      <c r="I29" s="4">
        <v>8.0475859884933367</v>
      </c>
      <c r="J29" s="4">
        <v>15.494300000000001</v>
      </c>
      <c r="K29" s="4" t="str">
        <f t="shared" si="2"/>
        <v>FALSE</v>
      </c>
      <c r="L29" s="4">
        <v>0.51939009755157295</v>
      </c>
      <c r="M29" s="4" t="s">
        <v>55</v>
      </c>
      <c r="N29" s="4">
        <v>0.53809246033725577</v>
      </c>
      <c r="O29" s="4">
        <v>0.85092825265263961</v>
      </c>
      <c r="P29" s="4" t="str">
        <f t="shared" si="3"/>
        <v>TRUE</v>
      </c>
      <c r="Q29" s="4" t="str">
        <f t="shared" si="4"/>
        <v>FALSE</v>
      </c>
    </row>
    <row r="30" spans="2:17" hidden="1" x14ac:dyDescent="0.2">
      <c r="B30" s="4" t="s">
        <v>38</v>
      </c>
      <c r="C30" s="4" t="s">
        <v>42</v>
      </c>
      <c r="D30" s="4" t="s">
        <v>48</v>
      </c>
      <c r="E30" s="4">
        <v>0.72490273291442053</v>
      </c>
      <c r="F30" s="4" t="str">
        <f t="shared" si="0"/>
        <v>TRUE</v>
      </c>
      <c r="G30" s="4">
        <v>1.7790769900930689E-2</v>
      </c>
      <c r="H30" s="4" t="str">
        <f t="shared" si="1"/>
        <v>TRUE</v>
      </c>
      <c r="I30" s="4">
        <v>12.52730098111115</v>
      </c>
      <c r="J30" s="4">
        <v>15.494300000000001</v>
      </c>
      <c r="K30" s="4" t="str">
        <f t="shared" si="2"/>
        <v>FALSE</v>
      </c>
      <c r="L30" s="4">
        <v>0.80851028966207894</v>
      </c>
      <c r="M30" s="4" t="s">
        <v>56</v>
      </c>
      <c r="N30" s="4">
        <v>0.53809290864719506</v>
      </c>
      <c r="O30" s="4">
        <v>0.69891921540436619</v>
      </c>
      <c r="P30" s="4" t="str">
        <f t="shared" si="3"/>
        <v>TRUE</v>
      </c>
      <c r="Q30" s="4" t="str">
        <f t="shared" si="4"/>
        <v>FALSE</v>
      </c>
    </row>
    <row r="31" spans="2:17" hidden="1" x14ac:dyDescent="0.2">
      <c r="B31" s="4" t="s">
        <v>38</v>
      </c>
      <c r="C31" s="4" t="s">
        <v>44</v>
      </c>
      <c r="D31" s="4" t="s">
        <v>46</v>
      </c>
      <c r="E31" s="4">
        <v>0.63343991071157091</v>
      </c>
      <c r="F31" s="4" t="str">
        <f t="shared" si="0"/>
        <v>TRUE</v>
      </c>
      <c r="G31" s="4">
        <v>9.447513481397618E-2</v>
      </c>
      <c r="H31" s="4" t="str">
        <f t="shared" si="1"/>
        <v>FALSE</v>
      </c>
      <c r="I31" s="4">
        <v>7.9548312233767779</v>
      </c>
      <c r="J31" s="4">
        <v>15.494300000000001</v>
      </c>
      <c r="K31" s="4" t="str">
        <f t="shared" si="2"/>
        <v>FALSE</v>
      </c>
      <c r="L31" s="4">
        <v>0.51340371771404825</v>
      </c>
      <c r="M31" s="4" t="s">
        <v>57</v>
      </c>
      <c r="N31" s="4">
        <v>0.84472724152629741</v>
      </c>
      <c r="O31" s="4">
        <v>0.85092821635878735</v>
      </c>
      <c r="P31" s="4" t="str">
        <f t="shared" si="3"/>
        <v>TRUE</v>
      </c>
      <c r="Q31" s="4" t="str">
        <f t="shared" si="4"/>
        <v>FALSE</v>
      </c>
    </row>
    <row r="32" spans="2:17" hidden="1" x14ac:dyDescent="0.2">
      <c r="B32" s="4" t="s">
        <v>38</v>
      </c>
      <c r="C32" s="4" t="s">
        <v>44</v>
      </c>
      <c r="D32" s="4" t="s">
        <v>48</v>
      </c>
      <c r="E32" s="4">
        <v>0.63268799058185676</v>
      </c>
      <c r="F32" s="4" t="str">
        <f t="shared" si="0"/>
        <v>TRUE</v>
      </c>
      <c r="G32" s="4">
        <v>0.1240903854394302</v>
      </c>
      <c r="H32" s="4" t="str">
        <f t="shared" si="1"/>
        <v>FALSE</v>
      </c>
      <c r="I32" s="4">
        <v>8.1374742271691733</v>
      </c>
      <c r="J32" s="4">
        <v>15.494300000000001</v>
      </c>
      <c r="K32" s="4" t="str">
        <f t="shared" si="2"/>
        <v>FALSE</v>
      </c>
      <c r="L32" s="4">
        <v>0.52519147216519446</v>
      </c>
      <c r="M32" s="4" t="s">
        <v>58</v>
      </c>
      <c r="N32" s="4">
        <v>0.84472730062937451</v>
      </c>
      <c r="O32" s="4">
        <v>0.69891928010860616</v>
      </c>
      <c r="P32" s="4" t="str">
        <f t="shared" si="3"/>
        <v>TRUE</v>
      </c>
      <c r="Q32" s="4" t="str">
        <f t="shared" si="4"/>
        <v>FALSE</v>
      </c>
    </row>
    <row r="33" spans="2:17" hidden="1" x14ac:dyDescent="0.2">
      <c r="B33" s="4" t="s">
        <v>38</v>
      </c>
      <c r="C33" s="4" t="s">
        <v>46</v>
      </c>
      <c r="D33" s="4" t="s">
        <v>48</v>
      </c>
      <c r="E33" s="4">
        <v>0.90516004945525075</v>
      </c>
      <c r="F33" s="4" t="str">
        <f t="shared" si="0"/>
        <v>TRUE</v>
      </c>
      <c r="G33" s="4">
        <v>2.8783457478148141E-2</v>
      </c>
      <c r="H33" s="4" t="str">
        <f t="shared" si="1"/>
        <v>TRUE</v>
      </c>
      <c r="I33" s="4">
        <v>11.061053464731851</v>
      </c>
      <c r="J33" s="4">
        <v>15.494300000000001</v>
      </c>
      <c r="K33" s="4" t="str">
        <f t="shared" si="2"/>
        <v>FALSE</v>
      </c>
      <c r="L33" s="4">
        <v>0.71387887576281928</v>
      </c>
      <c r="M33" s="4" t="s">
        <v>59</v>
      </c>
      <c r="N33" s="4">
        <v>0.8509285546112797</v>
      </c>
      <c r="O33" s="4">
        <v>0.698919217150201</v>
      </c>
      <c r="P33" s="4" t="str">
        <f t="shared" si="3"/>
        <v>TRUE</v>
      </c>
      <c r="Q33" s="4" t="str">
        <f t="shared" si="4"/>
        <v>FALSE</v>
      </c>
    </row>
    <row r="34" spans="2:17" hidden="1" x14ac:dyDescent="0.2">
      <c r="B34" s="4" t="s">
        <v>60</v>
      </c>
      <c r="C34" s="4" t="s">
        <v>61</v>
      </c>
      <c r="D34" s="4" t="s">
        <v>62</v>
      </c>
      <c r="E34" s="4">
        <v>0.67203198817632304</v>
      </c>
      <c r="F34" s="4" t="str">
        <f t="shared" si="0"/>
        <v>TRUE</v>
      </c>
      <c r="G34" s="4">
        <v>0.32035507303833549</v>
      </c>
      <c r="H34" s="4" t="str">
        <f t="shared" si="1"/>
        <v>FALSE</v>
      </c>
      <c r="I34" s="4">
        <v>4.9760917151123856</v>
      </c>
      <c r="J34" s="4">
        <v>15.494300000000001</v>
      </c>
      <c r="K34" s="4" t="str">
        <f t="shared" si="2"/>
        <v>FALSE</v>
      </c>
      <c r="L34" s="4">
        <v>0.32115627779973188</v>
      </c>
      <c r="M34" s="4" t="s">
        <v>63</v>
      </c>
      <c r="N34" s="4">
        <v>0.95611960757339953</v>
      </c>
      <c r="O34" s="4">
        <v>0.99372875760268542</v>
      </c>
      <c r="P34" s="4" t="str">
        <f t="shared" si="3"/>
        <v>TRUE</v>
      </c>
      <c r="Q34" s="4" t="str">
        <f t="shared" si="4"/>
        <v>FALSE</v>
      </c>
    </row>
    <row r="35" spans="2:17" hidden="1" x14ac:dyDescent="0.2">
      <c r="B35" s="4" t="s">
        <v>60</v>
      </c>
      <c r="C35" s="4" t="s">
        <v>61</v>
      </c>
      <c r="D35" s="4" t="s">
        <v>64</v>
      </c>
      <c r="E35" s="4">
        <v>0.37335087864226502</v>
      </c>
      <c r="F35" s="4" t="str">
        <f t="shared" si="0"/>
        <v>FALSE</v>
      </c>
      <c r="G35" s="4">
        <v>0.79891805238110392</v>
      </c>
      <c r="H35" s="4" t="str">
        <f t="shared" si="1"/>
        <v>FALSE</v>
      </c>
      <c r="I35" s="4">
        <v>5.8836809805225219</v>
      </c>
      <c r="J35" s="4">
        <v>15.494300000000001</v>
      </c>
      <c r="K35" s="4" t="str">
        <f t="shared" si="2"/>
        <v>FALSE</v>
      </c>
      <c r="L35" s="4">
        <v>0.37973196469169451</v>
      </c>
      <c r="M35" s="4" t="s">
        <v>65</v>
      </c>
      <c r="N35" s="4">
        <v>0.95611957474622489</v>
      </c>
      <c r="O35" s="4">
        <v>0.37690420656444013</v>
      </c>
      <c r="P35" s="4" t="str">
        <f t="shared" si="3"/>
        <v>TRUE</v>
      </c>
      <c r="Q35" s="4" t="str">
        <f t="shared" si="4"/>
        <v>FALSE</v>
      </c>
    </row>
    <row r="36" spans="2:17" hidden="1" x14ac:dyDescent="0.2">
      <c r="B36" s="4" t="s">
        <v>60</v>
      </c>
      <c r="C36" s="4" t="s">
        <v>61</v>
      </c>
      <c r="D36" s="4" t="s">
        <v>66</v>
      </c>
      <c r="E36" s="4">
        <v>0.45075816698118409</v>
      </c>
      <c r="F36" s="4" t="str">
        <f t="shared" si="0"/>
        <v>FALSE</v>
      </c>
      <c r="G36" s="4">
        <v>0.87753465592702695</v>
      </c>
      <c r="H36" s="4" t="str">
        <f t="shared" si="1"/>
        <v>FALSE</v>
      </c>
      <c r="I36" s="4">
        <v>5.8896508687066094</v>
      </c>
      <c r="J36" s="4">
        <v>15.494300000000001</v>
      </c>
      <c r="K36" s="4" t="str">
        <f t="shared" si="2"/>
        <v>FALSE</v>
      </c>
      <c r="L36" s="4">
        <v>0.38011726045749777</v>
      </c>
      <c r="M36" s="4" t="s">
        <v>67</v>
      </c>
      <c r="N36" s="4">
        <v>0.95611960757339953</v>
      </c>
      <c r="O36" s="4">
        <v>0.27763052019929019</v>
      </c>
      <c r="P36" s="4" t="str">
        <f t="shared" si="3"/>
        <v>TRUE</v>
      </c>
      <c r="Q36" s="4" t="str">
        <f t="shared" si="4"/>
        <v>FALSE</v>
      </c>
    </row>
    <row r="37" spans="2:17" hidden="1" x14ac:dyDescent="0.2">
      <c r="B37" s="4" t="s">
        <v>60</v>
      </c>
      <c r="C37" s="4" t="s">
        <v>61</v>
      </c>
      <c r="D37" s="4" t="s">
        <v>68</v>
      </c>
      <c r="E37" s="4">
        <v>0.54204984958613822</v>
      </c>
      <c r="F37" s="4" t="str">
        <f t="shared" si="0"/>
        <v>FALSE</v>
      </c>
      <c r="G37" s="4">
        <v>8.7222482324012585E-2</v>
      </c>
      <c r="H37" s="4" t="str">
        <f t="shared" si="1"/>
        <v>FALSE</v>
      </c>
      <c r="I37" s="4">
        <v>7.9789851515858654</v>
      </c>
      <c r="J37" s="4">
        <v>15.494300000000001</v>
      </c>
      <c r="K37" s="4" t="str">
        <f t="shared" si="2"/>
        <v>FALSE</v>
      </c>
      <c r="L37" s="4">
        <v>0.51496260893269552</v>
      </c>
      <c r="M37" s="4" t="s">
        <v>69</v>
      </c>
      <c r="N37" s="4">
        <v>0.9561195142840444</v>
      </c>
      <c r="O37" s="4">
        <v>0.91231450026015559</v>
      </c>
      <c r="P37" s="4" t="str">
        <f t="shared" si="3"/>
        <v>TRUE</v>
      </c>
      <c r="Q37" s="4" t="str">
        <f t="shared" si="4"/>
        <v>FALSE</v>
      </c>
    </row>
    <row r="38" spans="2:17" hidden="1" x14ac:dyDescent="0.2">
      <c r="B38" s="4" t="s">
        <v>60</v>
      </c>
      <c r="C38" s="4" t="s">
        <v>61</v>
      </c>
      <c r="D38" s="4" t="s">
        <v>70</v>
      </c>
      <c r="E38" s="4">
        <v>0.51670564801711039</v>
      </c>
      <c r="F38" s="4" t="str">
        <f t="shared" si="0"/>
        <v>FALSE</v>
      </c>
      <c r="G38" s="4">
        <v>0.81290129647314291</v>
      </c>
      <c r="H38" s="4" t="str">
        <f t="shared" si="1"/>
        <v>FALSE</v>
      </c>
      <c r="I38" s="4">
        <v>4.5699354783248394</v>
      </c>
      <c r="J38" s="4">
        <v>15.494300000000001</v>
      </c>
      <c r="K38" s="4" t="str">
        <f t="shared" si="2"/>
        <v>FALSE</v>
      </c>
      <c r="L38" s="4">
        <v>0.29494300990201811</v>
      </c>
      <c r="M38" s="4" t="s">
        <v>71</v>
      </c>
      <c r="N38" s="4">
        <v>0.95611966896784262</v>
      </c>
      <c r="O38" s="4">
        <v>0.48523483986056648</v>
      </c>
      <c r="P38" s="4" t="str">
        <f t="shared" si="3"/>
        <v>TRUE</v>
      </c>
      <c r="Q38" s="4" t="str">
        <f t="shared" si="4"/>
        <v>FALSE</v>
      </c>
    </row>
    <row r="39" spans="2:17" x14ac:dyDescent="0.2">
      <c r="B39" s="4" t="s">
        <v>60</v>
      </c>
      <c r="C39" s="4" t="s">
        <v>61</v>
      </c>
      <c r="D39" s="4" t="s">
        <v>72</v>
      </c>
      <c r="E39" s="4">
        <v>0.68545381394939653</v>
      </c>
      <c r="F39" s="4" t="str">
        <f t="shared" si="0"/>
        <v>TRUE</v>
      </c>
      <c r="G39" s="4">
        <v>1.779794948292019E-3</v>
      </c>
      <c r="H39" s="4" t="str">
        <f t="shared" si="1"/>
        <v>TRUE</v>
      </c>
      <c r="I39" s="4">
        <v>17.153636506002719</v>
      </c>
      <c r="J39" s="4">
        <v>15.494300000000001</v>
      </c>
      <c r="K39" s="4" t="str">
        <f t="shared" si="2"/>
        <v>TRUE</v>
      </c>
      <c r="L39" s="4">
        <v>1.1070933508453249</v>
      </c>
      <c r="M39" s="4" t="s">
        <v>73</v>
      </c>
      <c r="N39" s="4">
        <v>0.95611962620684432</v>
      </c>
      <c r="O39" s="4">
        <v>0.84524787850342231</v>
      </c>
      <c r="P39" s="4" t="str">
        <f t="shared" si="3"/>
        <v>TRUE</v>
      </c>
      <c r="Q39" s="4" t="str">
        <f t="shared" si="4"/>
        <v>TRUE</v>
      </c>
    </row>
    <row r="40" spans="2:17" hidden="1" x14ac:dyDescent="0.2">
      <c r="B40" s="4" t="s">
        <v>60</v>
      </c>
      <c r="C40" s="4" t="s">
        <v>62</v>
      </c>
      <c r="D40" s="4" t="s">
        <v>64</v>
      </c>
      <c r="E40" s="4">
        <v>0.23391202691648999</v>
      </c>
      <c r="F40" s="4" t="str">
        <f t="shared" si="0"/>
        <v>FALSE</v>
      </c>
      <c r="G40" s="4">
        <v>0.9875696242930283</v>
      </c>
      <c r="H40" s="4" t="str">
        <f t="shared" si="1"/>
        <v>FALSE</v>
      </c>
      <c r="I40" s="4">
        <v>5.4971397792031533</v>
      </c>
      <c r="J40" s="4">
        <v>15.494300000000001</v>
      </c>
      <c r="K40" s="4" t="str">
        <f t="shared" si="2"/>
        <v>FALSE</v>
      </c>
      <c r="L40" s="4">
        <v>0.3547846484967474</v>
      </c>
      <c r="M40" s="4" t="s">
        <v>74</v>
      </c>
      <c r="N40" s="4">
        <v>0.99372874344990758</v>
      </c>
      <c r="O40" s="4">
        <v>0.37690428828336908</v>
      </c>
      <c r="P40" s="4" t="str">
        <f t="shared" si="3"/>
        <v>TRUE</v>
      </c>
      <c r="Q40" s="4" t="str">
        <f t="shared" si="4"/>
        <v>FALSE</v>
      </c>
    </row>
    <row r="41" spans="2:17" hidden="1" x14ac:dyDescent="0.2">
      <c r="B41" s="4" t="s">
        <v>60</v>
      </c>
      <c r="C41" s="4" t="s">
        <v>62</v>
      </c>
      <c r="D41" s="4" t="s">
        <v>66</v>
      </c>
      <c r="E41" s="4">
        <v>0.29288913361807178</v>
      </c>
      <c r="F41" s="4" t="str">
        <f t="shared" si="0"/>
        <v>FALSE</v>
      </c>
      <c r="G41" s="4">
        <v>0.98441813462803474</v>
      </c>
      <c r="H41" s="4" t="str">
        <f t="shared" si="1"/>
        <v>FALSE</v>
      </c>
      <c r="I41" s="4">
        <v>5.4278428904567546</v>
      </c>
      <c r="J41" s="4">
        <v>15.494300000000001</v>
      </c>
      <c r="K41" s="4" t="str">
        <f t="shared" si="2"/>
        <v>FALSE</v>
      </c>
      <c r="L41" s="4">
        <v>0.3503122367875125</v>
      </c>
      <c r="M41" s="4" t="s">
        <v>75</v>
      </c>
      <c r="N41" s="4">
        <v>0.99372869892837856</v>
      </c>
      <c r="O41" s="4">
        <v>0.27763052019929019</v>
      </c>
      <c r="P41" s="4" t="str">
        <f t="shared" si="3"/>
        <v>TRUE</v>
      </c>
      <c r="Q41" s="4" t="str">
        <f t="shared" si="4"/>
        <v>FALSE</v>
      </c>
    </row>
    <row r="42" spans="2:17" hidden="1" x14ac:dyDescent="0.2">
      <c r="B42" s="4" t="s">
        <v>60</v>
      </c>
      <c r="C42" s="4" t="s">
        <v>62</v>
      </c>
      <c r="D42" s="4" t="s">
        <v>68</v>
      </c>
      <c r="E42" s="4">
        <v>0.59009082737044405</v>
      </c>
      <c r="F42" s="4" t="str">
        <f t="shared" si="0"/>
        <v>FALSE</v>
      </c>
      <c r="G42" s="4">
        <v>9.3251805631181493E-4</v>
      </c>
      <c r="H42" s="4" t="str">
        <f t="shared" si="1"/>
        <v>TRUE</v>
      </c>
      <c r="I42" s="4">
        <v>19.058608411562101</v>
      </c>
      <c r="J42" s="4">
        <v>15.494300000000001</v>
      </c>
      <c r="K42" s="4" t="str">
        <f t="shared" si="2"/>
        <v>TRUE</v>
      </c>
      <c r="L42" s="4">
        <v>1.230039976737388</v>
      </c>
      <c r="M42" s="4" t="s">
        <v>76</v>
      </c>
      <c r="N42" s="4">
        <v>0.99372875141433226</v>
      </c>
      <c r="O42" s="4">
        <v>0.91231465828754388</v>
      </c>
      <c r="P42" s="4" t="str">
        <f t="shared" si="3"/>
        <v>TRUE</v>
      </c>
      <c r="Q42" s="4" t="str">
        <f t="shared" si="4"/>
        <v>FALSE</v>
      </c>
    </row>
    <row r="43" spans="2:17" hidden="1" x14ac:dyDescent="0.2">
      <c r="B43" s="4" t="s">
        <v>60</v>
      </c>
      <c r="C43" s="4" t="s">
        <v>62</v>
      </c>
      <c r="D43" s="4" t="s">
        <v>70</v>
      </c>
      <c r="E43" s="4">
        <v>0.41649301058477139</v>
      </c>
      <c r="F43" s="4" t="str">
        <f t="shared" si="0"/>
        <v>FALSE</v>
      </c>
      <c r="G43" s="4">
        <v>0.97832290847883019</v>
      </c>
      <c r="H43" s="4" t="str">
        <f t="shared" si="1"/>
        <v>FALSE</v>
      </c>
      <c r="I43" s="4">
        <v>5.0416065748030654</v>
      </c>
      <c r="J43" s="4">
        <v>15.494300000000001</v>
      </c>
      <c r="K43" s="4" t="str">
        <f t="shared" si="2"/>
        <v>FALSE</v>
      </c>
      <c r="L43" s="4">
        <v>0.32538459787167312</v>
      </c>
      <c r="M43" s="4" t="s">
        <v>77</v>
      </c>
      <c r="N43" s="4">
        <v>0.993728724006118</v>
      </c>
      <c r="O43" s="4">
        <v>0.48523494395205607</v>
      </c>
      <c r="P43" s="4" t="str">
        <f t="shared" si="3"/>
        <v>TRUE</v>
      </c>
      <c r="Q43" s="4" t="str">
        <f t="shared" si="4"/>
        <v>FALSE</v>
      </c>
    </row>
    <row r="44" spans="2:17" hidden="1" x14ac:dyDescent="0.2">
      <c r="B44" s="4" t="s">
        <v>60</v>
      </c>
      <c r="C44" s="4" t="s">
        <v>62</v>
      </c>
      <c r="D44" s="4" t="s">
        <v>72</v>
      </c>
      <c r="E44" s="4">
        <v>0.54606317067606314</v>
      </c>
      <c r="F44" s="4" t="str">
        <f t="shared" si="0"/>
        <v>FALSE</v>
      </c>
      <c r="G44" s="4">
        <v>5.051043423484549E-2</v>
      </c>
      <c r="H44" s="4" t="str">
        <f t="shared" si="1"/>
        <v>FALSE</v>
      </c>
      <c r="I44" s="4">
        <v>11.28068416201287</v>
      </c>
      <c r="J44" s="4">
        <v>15.494300000000001</v>
      </c>
      <c r="K44" s="4" t="str">
        <f t="shared" si="2"/>
        <v>FALSE</v>
      </c>
      <c r="L44" s="4">
        <v>0.72805381088612398</v>
      </c>
      <c r="M44" s="4" t="s">
        <v>78</v>
      </c>
      <c r="N44" s="4">
        <v>0.99372867723970337</v>
      </c>
      <c r="O44" s="4">
        <v>0.84524833062269211</v>
      </c>
      <c r="P44" s="4" t="str">
        <f t="shared" si="3"/>
        <v>TRUE</v>
      </c>
      <c r="Q44" s="4" t="str">
        <f t="shared" si="4"/>
        <v>FALSE</v>
      </c>
    </row>
    <row r="45" spans="2:17" hidden="1" x14ac:dyDescent="0.2">
      <c r="B45" s="4" t="s">
        <v>60</v>
      </c>
      <c r="C45" s="4" t="s">
        <v>64</v>
      </c>
      <c r="D45" s="4" t="s">
        <v>66</v>
      </c>
      <c r="E45" s="4">
        <v>0.4702242886507853</v>
      </c>
      <c r="F45" s="4" t="str">
        <f t="shared" si="0"/>
        <v>FALSE</v>
      </c>
      <c r="G45" s="4">
        <v>3.3715749021615529E-3</v>
      </c>
      <c r="H45" s="4" t="str">
        <f t="shared" si="1"/>
        <v>TRUE</v>
      </c>
      <c r="I45" s="4">
        <v>17.63948373029708</v>
      </c>
      <c r="J45" s="4">
        <v>15.494300000000001</v>
      </c>
      <c r="K45" s="4" t="str">
        <f t="shared" si="2"/>
        <v>TRUE</v>
      </c>
      <c r="L45" s="4">
        <v>1.1384498641627621</v>
      </c>
      <c r="M45" s="4" t="s">
        <v>79</v>
      </c>
      <c r="N45" s="4">
        <v>0.37690388216200887</v>
      </c>
      <c r="O45" s="4">
        <v>0.27763077065914171</v>
      </c>
      <c r="P45" s="4" t="str">
        <f t="shared" si="3"/>
        <v>TRUE</v>
      </c>
      <c r="Q45" s="4" t="str">
        <f t="shared" si="4"/>
        <v>FALSE</v>
      </c>
    </row>
    <row r="46" spans="2:17" hidden="1" x14ac:dyDescent="0.2">
      <c r="B46" s="4" t="s">
        <v>60</v>
      </c>
      <c r="C46" s="4" t="s">
        <v>64</v>
      </c>
      <c r="D46" s="4" t="s">
        <v>68</v>
      </c>
      <c r="E46" s="4">
        <v>0.17417311345502079</v>
      </c>
      <c r="F46" s="4" t="str">
        <f t="shared" si="0"/>
        <v>FALSE</v>
      </c>
      <c r="G46" s="4">
        <v>0.38025658228897158</v>
      </c>
      <c r="H46" s="4" t="str">
        <f t="shared" si="1"/>
        <v>FALSE</v>
      </c>
      <c r="I46" s="4">
        <v>5.3241599152480914</v>
      </c>
      <c r="J46" s="4">
        <v>15.494300000000001</v>
      </c>
      <c r="K46" s="4" t="str">
        <f t="shared" si="2"/>
        <v>FALSE</v>
      </c>
      <c r="L46" s="4">
        <v>0.34362055176730089</v>
      </c>
      <c r="M46" s="4" t="s">
        <v>80</v>
      </c>
      <c r="N46" s="4">
        <v>0.37690447784644948</v>
      </c>
      <c r="O46" s="4">
        <v>0.9123145288004384</v>
      </c>
      <c r="P46" s="4" t="str">
        <f t="shared" si="3"/>
        <v>TRUE</v>
      </c>
      <c r="Q46" s="4" t="str">
        <f t="shared" si="4"/>
        <v>FALSE</v>
      </c>
    </row>
    <row r="47" spans="2:17" hidden="1" x14ac:dyDescent="0.2">
      <c r="B47" s="4" t="s">
        <v>60</v>
      </c>
      <c r="C47" s="4" t="s">
        <v>64</v>
      </c>
      <c r="D47" s="4" t="s">
        <v>70</v>
      </c>
      <c r="E47" s="4">
        <v>0.55556259800380625</v>
      </c>
      <c r="F47" s="4" t="str">
        <f t="shared" si="0"/>
        <v>FALSE</v>
      </c>
      <c r="G47" s="4">
        <v>6.691675705996214E-2</v>
      </c>
      <c r="H47" s="4" t="str">
        <f t="shared" si="1"/>
        <v>FALSE</v>
      </c>
      <c r="I47" s="4">
        <v>12.40908070021028</v>
      </c>
      <c r="J47" s="4">
        <v>15.494300000000001</v>
      </c>
      <c r="K47" s="4" t="str">
        <f t="shared" si="2"/>
        <v>FALSE</v>
      </c>
      <c r="L47" s="4">
        <v>0.80088036892342884</v>
      </c>
      <c r="M47" s="4" t="s">
        <v>81</v>
      </c>
      <c r="N47" s="4">
        <v>0.37690427358299461</v>
      </c>
      <c r="O47" s="4">
        <v>0.48523467130152981</v>
      </c>
      <c r="P47" s="4" t="str">
        <f t="shared" si="3"/>
        <v>TRUE</v>
      </c>
      <c r="Q47" s="4" t="str">
        <f t="shared" si="4"/>
        <v>FALSE</v>
      </c>
    </row>
    <row r="48" spans="2:17" hidden="1" x14ac:dyDescent="0.2">
      <c r="B48" s="4" t="s">
        <v>60</v>
      </c>
      <c r="C48" s="4" t="s">
        <v>64</v>
      </c>
      <c r="D48" s="4" t="s">
        <v>72</v>
      </c>
      <c r="E48" s="4">
        <v>0.26779407241723813</v>
      </c>
      <c r="F48" s="4" t="str">
        <f t="shared" si="0"/>
        <v>FALSE</v>
      </c>
      <c r="G48" s="4">
        <v>0.2954895839417454</v>
      </c>
      <c r="H48" s="4" t="str">
        <f t="shared" si="1"/>
        <v>FALSE</v>
      </c>
      <c r="I48" s="4">
        <v>5.567391162342485</v>
      </c>
      <c r="J48" s="4">
        <v>15.494300000000001</v>
      </c>
      <c r="K48" s="4" t="str">
        <f t="shared" si="2"/>
        <v>FALSE</v>
      </c>
      <c r="L48" s="4">
        <v>0.35931866314338079</v>
      </c>
      <c r="M48" s="4" t="s">
        <v>82</v>
      </c>
      <c r="N48" s="4">
        <v>0.37690463085540071</v>
      </c>
      <c r="O48" s="4">
        <v>0.84524734925344791</v>
      </c>
      <c r="P48" s="4" t="str">
        <f t="shared" si="3"/>
        <v>TRUE</v>
      </c>
      <c r="Q48" s="4" t="str">
        <f t="shared" si="4"/>
        <v>FALSE</v>
      </c>
    </row>
    <row r="49" spans="2:17" hidden="1" x14ac:dyDescent="0.2">
      <c r="B49" s="4" t="s">
        <v>60</v>
      </c>
      <c r="C49" s="4" t="s">
        <v>66</v>
      </c>
      <c r="D49" s="4" t="s">
        <v>68</v>
      </c>
      <c r="E49" s="4">
        <v>0.30074553990351272</v>
      </c>
      <c r="F49" s="4" t="str">
        <f t="shared" si="0"/>
        <v>FALSE</v>
      </c>
      <c r="G49" s="4">
        <v>0.58954291265758108</v>
      </c>
      <c r="H49" s="4" t="str">
        <f t="shared" si="1"/>
        <v>FALSE</v>
      </c>
      <c r="I49" s="4">
        <v>4.5433814013054334</v>
      </c>
      <c r="J49" s="4">
        <v>15.494300000000001</v>
      </c>
      <c r="K49" s="4" t="str">
        <f t="shared" si="2"/>
        <v>FALSE</v>
      </c>
      <c r="L49" s="4">
        <v>0.29322921340786168</v>
      </c>
      <c r="M49" s="4" t="s">
        <v>83</v>
      </c>
      <c r="N49" s="4">
        <v>0.27763050380773141</v>
      </c>
      <c r="O49" s="4">
        <v>0.91231445576407499</v>
      </c>
      <c r="P49" s="4" t="str">
        <f t="shared" si="3"/>
        <v>TRUE</v>
      </c>
      <c r="Q49" s="4" t="str">
        <f t="shared" si="4"/>
        <v>FALSE</v>
      </c>
    </row>
    <row r="50" spans="2:17" x14ac:dyDescent="0.2">
      <c r="B50" s="4" t="s">
        <v>60</v>
      </c>
      <c r="C50" s="4" t="s">
        <v>66</v>
      </c>
      <c r="D50" s="4" t="s">
        <v>70</v>
      </c>
      <c r="E50" s="4">
        <v>0.69192378127424181</v>
      </c>
      <c r="F50" s="4" t="str">
        <f t="shared" si="0"/>
        <v>TRUE</v>
      </c>
      <c r="G50" s="4">
        <v>6.3665217736084377E-3</v>
      </c>
      <c r="H50" s="4" t="str">
        <f t="shared" si="1"/>
        <v>TRUE</v>
      </c>
      <c r="I50" s="4">
        <v>17.041057127069891</v>
      </c>
      <c r="J50" s="4">
        <v>15.494300000000001</v>
      </c>
      <c r="K50" s="4" t="str">
        <f t="shared" si="2"/>
        <v>TRUE</v>
      </c>
      <c r="L50" s="4">
        <v>1.099827493147151</v>
      </c>
      <c r="M50" s="4" t="s">
        <v>84</v>
      </c>
      <c r="N50" s="4">
        <v>0.27763050380773141</v>
      </c>
      <c r="O50" s="4">
        <v>0.48523443134334948</v>
      </c>
      <c r="P50" s="4" t="str">
        <f t="shared" si="3"/>
        <v>TRUE</v>
      </c>
      <c r="Q50" s="4" t="str">
        <f t="shared" si="4"/>
        <v>TRUE</v>
      </c>
    </row>
    <row r="51" spans="2:17" hidden="1" x14ac:dyDescent="0.2">
      <c r="B51" s="4" t="s">
        <v>60</v>
      </c>
      <c r="C51" s="4" t="s">
        <v>66</v>
      </c>
      <c r="D51" s="4" t="s">
        <v>72</v>
      </c>
      <c r="E51" s="4">
        <v>0.2188672109431205</v>
      </c>
      <c r="F51" s="4" t="str">
        <f t="shared" si="0"/>
        <v>FALSE</v>
      </c>
      <c r="G51" s="4">
        <v>0.32154399195433447</v>
      </c>
      <c r="H51" s="4" t="str">
        <f t="shared" si="1"/>
        <v>FALSE</v>
      </c>
      <c r="I51" s="4">
        <v>5.2301853248377332</v>
      </c>
      <c r="J51" s="4">
        <v>15.494300000000001</v>
      </c>
      <c r="K51" s="4" t="str">
        <f t="shared" si="2"/>
        <v>FALSE</v>
      </c>
      <c r="L51" s="4">
        <v>0.33755544457237391</v>
      </c>
      <c r="M51" s="4" t="s">
        <v>85</v>
      </c>
      <c r="N51" s="4">
        <v>0.27763102917462329</v>
      </c>
      <c r="O51" s="4">
        <v>0.84524842841168479</v>
      </c>
      <c r="P51" s="4" t="str">
        <f t="shared" si="3"/>
        <v>TRUE</v>
      </c>
      <c r="Q51" s="4" t="str">
        <f t="shared" si="4"/>
        <v>FALSE</v>
      </c>
    </row>
    <row r="52" spans="2:17" hidden="1" x14ac:dyDescent="0.2">
      <c r="B52" s="4" t="s">
        <v>60</v>
      </c>
      <c r="C52" s="4" t="s">
        <v>68</v>
      </c>
      <c r="D52" s="4" t="s">
        <v>70</v>
      </c>
      <c r="E52" s="4">
        <v>0.41556083589525611</v>
      </c>
      <c r="F52" s="4" t="str">
        <f t="shared" si="0"/>
        <v>FALSE</v>
      </c>
      <c r="G52" s="4">
        <v>0.85417227021690689</v>
      </c>
      <c r="H52" s="4" t="str">
        <f t="shared" si="1"/>
        <v>FALSE</v>
      </c>
      <c r="I52" s="4">
        <v>3.947528632141474</v>
      </c>
      <c r="J52" s="4">
        <v>15.494300000000001</v>
      </c>
      <c r="K52" s="4" t="str">
        <f t="shared" si="2"/>
        <v>FALSE</v>
      </c>
      <c r="L52" s="4">
        <v>0.25477295729019528</v>
      </c>
      <c r="M52" s="4" t="s">
        <v>86</v>
      </c>
      <c r="N52" s="4">
        <v>0.91231445576407499</v>
      </c>
      <c r="O52" s="4">
        <v>0.48523460975241761</v>
      </c>
      <c r="P52" s="4" t="str">
        <f t="shared" si="3"/>
        <v>TRUE</v>
      </c>
      <c r="Q52" s="4" t="str">
        <f t="shared" si="4"/>
        <v>FALSE</v>
      </c>
    </row>
    <row r="53" spans="2:17" hidden="1" x14ac:dyDescent="0.2">
      <c r="B53" s="4" t="s">
        <v>60</v>
      </c>
      <c r="C53" s="4" t="s">
        <v>68</v>
      </c>
      <c r="D53" s="4" t="s">
        <v>72</v>
      </c>
      <c r="E53" s="4">
        <v>0.45494064454386629</v>
      </c>
      <c r="F53" s="4" t="str">
        <f t="shared" si="0"/>
        <v>FALSE</v>
      </c>
      <c r="G53" s="4">
        <v>2.5883266623394709E-2</v>
      </c>
      <c r="H53" s="4" t="str">
        <f t="shared" si="1"/>
        <v>TRUE</v>
      </c>
      <c r="I53" s="4">
        <v>11.46654023884423</v>
      </c>
      <c r="J53" s="4">
        <v>15.494300000000001</v>
      </c>
      <c r="K53" s="4" t="str">
        <f t="shared" si="2"/>
        <v>FALSE</v>
      </c>
      <c r="L53" s="4">
        <v>0.74004893663116322</v>
      </c>
      <c r="M53" s="4" t="s">
        <v>87</v>
      </c>
      <c r="N53" s="4">
        <v>0.91231396325295422</v>
      </c>
      <c r="O53" s="4">
        <v>0.84524798942469337</v>
      </c>
      <c r="P53" s="4" t="str">
        <f t="shared" si="3"/>
        <v>TRUE</v>
      </c>
      <c r="Q53" s="4" t="str">
        <f t="shared" si="4"/>
        <v>FALSE</v>
      </c>
    </row>
    <row r="54" spans="2:17" hidden="1" x14ac:dyDescent="0.2">
      <c r="B54" s="4" t="s">
        <v>60</v>
      </c>
      <c r="C54" s="4" t="s">
        <v>70</v>
      </c>
      <c r="D54" s="4" t="s">
        <v>72</v>
      </c>
      <c r="E54" s="4">
        <v>0.32415619752542402</v>
      </c>
      <c r="F54" s="4" t="str">
        <f t="shared" si="0"/>
        <v>FALSE</v>
      </c>
      <c r="G54" s="4">
        <v>0.44070411916933672</v>
      </c>
      <c r="H54" s="4" t="str">
        <f t="shared" si="1"/>
        <v>FALSE</v>
      </c>
      <c r="I54" s="4">
        <v>4.1706063032333187</v>
      </c>
      <c r="J54" s="4">
        <v>15.494300000000001</v>
      </c>
      <c r="K54" s="4" t="str">
        <f t="shared" si="2"/>
        <v>FALSE</v>
      </c>
      <c r="L54" s="4">
        <v>0.26917035963117519</v>
      </c>
      <c r="M54" s="4" t="s">
        <v>88</v>
      </c>
      <c r="N54" s="4">
        <v>0.4852344253623565</v>
      </c>
      <c r="O54" s="4">
        <v>0.84524798942469337</v>
      </c>
      <c r="P54" s="4" t="str">
        <f t="shared" si="3"/>
        <v>TRUE</v>
      </c>
      <c r="Q54" s="4" t="str">
        <f t="shared" si="4"/>
        <v>FALSE</v>
      </c>
    </row>
    <row r="55" spans="2:17" hidden="1" x14ac:dyDescent="0.2">
      <c r="B55" s="4" t="s">
        <v>89</v>
      </c>
      <c r="C55" s="4" t="s">
        <v>90</v>
      </c>
      <c r="D55" s="4" t="s">
        <v>91</v>
      </c>
      <c r="E55" s="4">
        <v>0.64227363678974303</v>
      </c>
      <c r="F55" s="4" t="str">
        <f t="shared" si="0"/>
        <v>TRUE</v>
      </c>
      <c r="G55" s="4">
        <v>0.29134801803676719</v>
      </c>
      <c r="H55" s="4" t="str">
        <f t="shared" si="1"/>
        <v>FALSE</v>
      </c>
      <c r="I55" s="4">
        <v>4.5833478929943752</v>
      </c>
      <c r="J55" s="4">
        <v>15.494300000000001</v>
      </c>
      <c r="K55" s="4" t="str">
        <f t="shared" si="2"/>
        <v>FALSE</v>
      </c>
      <c r="L55" s="4">
        <v>0.29580864530791162</v>
      </c>
      <c r="M55" s="4" t="s">
        <v>92</v>
      </c>
      <c r="N55" s="4">
        <v>0.95229266158450709</v>
      </c>
      <c r="O55" s="4">
        <v>0.9886531088452235</v>
      </c>
      <c r="P55" s="4" t="str">
        <f t="shared" si="3"/>
        <v>TRUE</v>
      </c>
      <c r="Q55" s="4" t="str">
        <f t="shared" si="4"/>
        <v>FALSE</v>
      </c>
    </row>
    <row r="56" spans="2:17" hidden="1" x14ac:dyDescent="0.2">
      <c r="B56" s="4" t="s">
        <v>89</v>
      </c>
      <c r="C56" s="4" t="s">
        <v>90</v>
      </c>
      <c r="D56" s="4" t="s">
        <v>93</v>
      </c>
      <c r="E56" s="4">
        <v>0.5924438026330775</v>
      </c>
      <c r="F56" s="4" t="str">
        <f t="shared" si="0"/>
        <v>FALSE</v>
      </c>
      <c r="G56" s="4">
        <v>0.12811491895998309</v>
      </c>
      <c r="H56" s="4" t="str">
        <f t="shared" si="1"/>
        <v>FALSE</v>
      </c>
      <c r="I56" s="4">
        <v>6.7186748686780344</v>
      </c>
      <c r="J56" s="4">
        <v>15.494300000000001</v>
      </c>
      <c r="K56" s="4" t="str">
        <f t="shared" si="2"/>
        <v>FALSE</v>
      </c>
      <c r="L56" s="4">
        <v>0.43362235587784109</v>
      </c>
      <c r="M56" s="4" t="s">
        <v>94</v>
      </c>
      <c r="N56" s="4">
        <v>0.95229276100750226</v>
      </c>
      <c r="O56" s="4">
        <v>0.98527254074687465</v>
      </c>
      <c r="P56" s="4" t="str">
        <f t="shared" si="3"/>
        <v>TRUE</v>
      </c>
      <c r="Q56" s="4" t="str">
        <f t="shared" si="4"/>
        <v>FALSE</v>
      </c>
    </row>
    <row r="57" spans="2:17" hidden="1" x14ac:dyDescent="0.2">
      <c r="B57" s="4" t="s">
        <v>89</v>
      </c>
      <c r="C57" s="4" t="s">
        <v>90</v>
      </c>
      <c r="D57" s="4" t="s">
        <v>95</v>
      </c>
      <c r="E57" s="4">
        <v>0.62628035015420769</v>
      </c>
      <c r="F57" s="4" t="str">
        <f t="shared" si="0"/>
        <v>TRUE</v>
      </c>
      <c r="G57" s="4">
        <v>0.32663524745406158</v>
      </c>
      <c r="H57" s="4" t="str">
        <f t="shared" si="1"/>
        <v>FALSE</v>
      </c>
      <c r="I57" s="4">
        <v>4.5148638483790213</v>
      </c>
      <c r="J57" s="4">
        <v>15.494300000000001</v>
      </c>
      <c r="K57" s="4" t="str">
        <f t="shared" si="2"/>
        <v>FALSE</v>
      </c>
      <c r="L57" s="4">
        <v>0.29138869444757243</v>
      </c>
      <c r="M57" s="4" t="s">
        <v>96</v>
      </c>
      <c r="N57" s="4">
        <v>0.95229266273403179</v>
      </c>
      <c r="O57" s="4">
        <v>0.98851212942577149</v>
      </c>
      <c r="P57" s="4" t="str">
        <f t="shared" si="3"/>
        <v>TRUE</v>
      </c>
      <c r="Q57" s="4" t="str">
        <f t="shared" si="4"/>
        <v>FALSE</v>
      </c>
    </row>
    <row r="58" spans="2:17" hidden="1" x14ac:dyDescent="0.2">
      <c r="B58" s="4" t="s">
        <v>89</v>
      </c>
      <c r="C58" s="4" t="s">
        <v>90</v>
      </c>
      <c r="D58" s="4" t="s">
        <v>97</v>
      </c>
      <c r="E58" s="4">
        <v>0.7462449341174292</v>
      </c>
      <c r="F58" s="4" t="str">
        <f t="shared" si="0"/>
        <v>TRUE</v>
      </c>
      <c r="G58" s="4">
        <v>6.0895342150732348E-4</v>
      </c>
      <c r="H58" s="4" t="str">
        <f t="shared" si="1"/>
        <v>TRUE</v>
      </c>
      <c r="I58" s="4">
        <v>14.988213896728309</v>
      </c>
      <c r="J58" s="4">
        <v>15.494300000000001</v>
      </c>
      <c r="K58" s="4" t="str">
        <f t="shared" si="2"/>
        <v>FALSE</v>
      </c>
      <c r="L58" s="4">
        <v>0.96733727220515364</v>
      </c>
      <c r="M58" s="4" t="s">
        <v>98</v>
      </c>
      <c r="N58" s="4">
        <v>0.9522926186266093</v>
      </c>
      <c r="O58" s="4">
        <v>0.68641798613182625</v>
      </c>
      <c r="P58" s="4" t="str">
        <f t="shared" si="3"/>
        <v>TRUE</v>
      </c>
      <c r="Q58" s="4" t="str">
        <f t="shared" si="4"/>
        <v>FALSE</v>
      </c>
    </row>
    <row r="59" spans="2:17" x14ac:dyDescent="0.2">
      <c r="B59" s="4" t="s">
        <v>89</v>
      </c>
      <c r="C59" s="4" t="s">
        <v>91</v>
      </c>
      <c r="D59" s="4" t="s">
        <v>93</v>
      </c>
      <c r="E59" s="4">
        <v>0.66224457620975186</v>
      </c>
      <c r="F59" s="4" t="str">
        <f t="shared" si="0"/>
        <v>TRUE</v>
      </c>
      <c r="G59" s="4">
        <v>3.585240373795328E-3</v>
      </c>
      <c r="H59" s="4" t="str">
        <f t="shared" si="1"/>
        <v>TRUE</v>
      </c>
      <c r="I59" s="4">
        <v>16.401668213741569</v>
      </c>
      <c r="J59" s="4">
        <v>15.494300000000001</v>
      </c>
      <c r="K59" s="4" t="str">
        <f t="shared" si="2"/>
        <v>TRUE</v>
      </c>
      <c r="L59" s="4">
        <v>1.0585614202475471</v>
      </c>
      <c r="M59" s="4" t="s">
        <v>99</v>
      </c>
      <c r="N59" s="4">
        <v>0.98865307969919369</v>
      </c>
      <c r="O59" s="4">
        <v>0.98527254074687465</v>
      </c>
      <c r="P59" s="4" t="str">
        <f t="shared" si="3"/>
        <v>TRUE</v>
      </c>
      <c r="Q59" s="4" t="str">
        <f t="shared" si="4"/>
        <v>TRUE</v>
      </c>
    </row>
    <row r="60" spans="2:17" hidden="1" x14ac:dyDescent="0.2">
      <c r="B60" s="4" t="s">
        <v>89</v>
      </c>
      <c r="C60" s="4" t="s">
        <v>91</v>
      </c>
      <c r="D60" s="4" t="s">
        <v>95</v>
      </c>
      <c r="E60" s="4">
        <v>0.80260953324268625</v>
      </c>
      <c r="F60" s="4" t="str">
        <f t="shared" si="0"/>
        <v>TRUE</v>
      </c>
      <c r="G60" s="4">
        <v>5.0178481078635932E-3</v>
      </c>
      <c r="H60" s="4" t="str">
        <f t="shared" si="1"/>
        <v>TRUE</v>
      </c>
      <c r="I60" s="4">
        <v>14.016288449405231</v>
      </c>
      <c r="J60" s="4">
        <v>15.494300000000001</v>
      </c>
      <c r="K60" s="4" t="str">
        <f t="shared" si="2"/>
        <v>FALSE</v>
      </c>
      <c r="L60" s="4">
        <v>0.90460933694360024</v>
      </c>
      <c r="M60" s="4" t="s">
        <v>100</v>
      </c>
      <c r="N60" s="4">
        <v>0.98865305746854548</v>
      </c>
      <c r="O60" s="4">
        <v>0.98851213390828363</v>
      </c>
      <c r="P60" s="4" t="str">
        <f t="shared" si="3"/>
        <v>TRUE</v>
      </c>
      <c r="Q60" s="4" t="str">
        <f t="shared" si="4"/>
        <v>FALSE</v>
      </c>
    </row>
    <row r="61" spans="2:17" hidden="1" x14ac:dyDescent="0.2">
      <c r="B61" s="4" t="s">
        <v>89</v>
      </c>
      <c r="C61" s="4" t="s">
        <v>91</v>
      </c>
      <c r="D61" s="4" t="s">
        <v>97</v>
      </c>
      <c r="E61" s="4">
        <v>0.58818258849094385</v>
      </c>
      <c r="F61" s="4" t="str">
        <f t="shared" si="0"/>
        <v>FALSE</v>
      </c>
      <c r="G61" s="4">
        <v>0.49815582675323888</v>
      </c>
      <c r="H61" s="4" t="str">
        <f t="shared" si="1"/>
        <v>FALSE</v>
      </c>
      <c r="I61" s="4">
        <v>5.8501976530316169</v>
      </c>
      <c r="J61" s="4">
        <v>15.494300000000001</v>
      </c>
      <c r="K61" s="4" t="str">
        <f t="shared" si="2"/>
        <v>FALSE</v>
      </c>
      <c r="L61" s="4">
        <v>0.37757095532109342</v>
      </c>
      <c r="M61" s="4" t="s">
        <v>101</v>
      </c>
      <c r="N61" s="4">
        <v>0.98865307437928562</v>
      </c>
      <c r="O61" s="4">
        <v>0.68641832966051153</v>
      </c>
      <c r="P61" s="4" t="str">
        <f t="shared" si="3"/>
        <v>TRUE</v>
      </c>
      <c r="Q61" s="4" t="str">
        <f t="shared" si="4"/>
        <v>FALSE</v>
      </c>
    </row>
    <row r="62" spans="2:17" hidden="1" x14ac:dyDescent="0.2">
      <c r="B62" s="4" t="s">
        <v>89</v>
      </c>
      <c r="C62" s="4" t="s">
        <v>93</v>
      </c>
      <c r="D62" s="4" t="s">
        <v>95</v>
      </c>
      <c r="E62" s="4">
        <v>0.60339097700196398</v>
      </c>
      <c r="F62" s="4" t="str">
        <f t="shared" si="0"/>
        <v>TRUE</v>
      </c>
      <c r="G62" s="4">
        <v>4.6528983722556518E-2</v>
      </c>
      <c r="H62" s="4" t="str">
        <f t="shared" si="1"/>
        <v>TRUE</v>
      </c>
      <c r="I62" s="4">
        <v>10.78359359578806</v>
      </c>
      <c r="J62" s="4">
        <v>15.494300000000001</v>
      </c>
      <c r="K62" s="4" t="str">
        <f t="shared" si="2"/>
        <v>FALSE</v>
      </c>
      <c r="L62" s="4">
        <v>0.69597165382031223</v>
      </c>
      <c r="M62" s="4" t="s">
        <v>102</v>
      </c>
      <c r="N62" s="4">
        <v>0.98527254074687465</v>
      </c>
      <c r="O62" s="4">
        <v>0.98851212281567913</v>
      </c>
      <c r="P62" s="4" t="str">
        <f t="shared" si="3"/>
        <v>TRUE</v>
      </c>
      <c r="Q62" s="4" t="str">
        <f t="shared" si="4"/>
        <v>FALSE</v>
      </c>
    </row>
    <row r="63" spans="2:17" hidden="1" x14ac:dyDescent="0.2">
      <c r="B63" s="4" t="s">
        <v>89</v>
      </c>
      <c r="C63" s="4" t="s">
        <v>93</v>
      </c>
      <c r="D63" s="4" t="s">
        <v>97</v>
      </c>
      <c r="E63" s="4">
        <v>0.54814526152587928</v>
      </c>
      <c r="F63" s="4" t="str">
        <f t="shared" si="0"/>
        <v>FALSE</v>
      </c>
      <c r="G63" s="4">
        <v>0.25315939246245539</v>
      </c>
      <c r="H63" s="4" t="str">
        <f t="shared" si="1"/>
        <v>FALSE</v>
      </c>
      <c r="I63" s="4">
        <v>6.7814605791079421</v>
      </c>
      <c r="J63" s="4">
        <v>15.494300000000001</v>
      </c>
      <c r="K63" s="4" t="str">
        <f t="shared" si="2"/>
        <v>FALSE</v>
      </c>
      <c r="L63" s="4">
        <v>0.43767453703025899</v>
      </c>
      <c r="M63" s="4" t="s">
        <v>103</v>
      </c>
      <c r="N63" s="4">
        <v>0.98527254074687465</v>
      </c>
      <c r="O63" s="4">
        <v>0.68641832966051153</v>
      </c>
      <c r="P63" s="4" t="str">
        <f t="shared" si="3"/>
        <v>TRUE</v>
      </c>
      <c r="Q63" s="4" t="str">
        <f t="shared" si="4"/>
        <v>FALSE</v>
      </c>
    </row>
    <row r="64" spans="2:17" hidden="1" x14ac:dyDescent="0.2">
      <c r="B64" s="4" t="s">
        <v>89</v>
      </c>
      <c r="C64" s="4" t="s">
        <v>95</v>
      </c>
      <c r="D64" s="4" t="s">
        <v>97</v>
      </c>
      <c r="E64" s="4">
        <v>0.54758236160928564</v>
      </c>
      <c r="F64" s="4" t="str">
        <f t="shared" si="0"/>
        <v>FALSE</v>
      </c>
      <c r="G64" s="4">
        <v>0.48855572989233748</v>
      </c>
      <c r="H64" s="4" t="str">
        <f t="shared" si="1"/>
        <v>FALSE</v>
      </c>
      <c r="I64" s="4">
        <v>5.6758408440812076</v>
      </c>
      <c r="J64" s="4">
        <v>15.494300000000001</v>
      </c>
      <c r="K64" s="4" t="str">
        <f t="shared" si="2"/>
        <v>FALSE</v>
      </c>
      <c r="L64" s="4">
        <v>0.36631799075022481</v>
      </c>
      <c r="M64" s="4" t="s">
        <v>104</v>
      </c>
      <c r="N64" s="4">
        <v>0.98851210727834082</v>
      </c>
      <c r="O64" s="4">
        <v>0.68641890927014859</v>
      </c>
      <c r="P64" s="4" t="str">
        <f t="shared" si="3"/>
        <v>TRUE</v>
      </c>
      <c r="Q64" s="4" t="str">
        <f t="shared" si="4"/>
        <v>FALSE</v>
      </c>
    </row>
  </sheetData>
  <autoFilter ref="B2:Q64" xr:uid="{6E3CCCDB-40C4-3348-AE39-7F0F62D3D681}">
    <filterColumn colId="15">
      <filters>
        <filter val="TRUE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3A88-0A64-9E4E-94AF-97C8EC93B741}">
  <dimension ref="B2:F17"/>
  <sheetViews>
    <sheetView showGridLines="0" workbookViewId="0"/>
  </sheetViews>
  <sheetFormatPr baseColWidth="10" defaultRowHeight="15" x14ac:dyDescent="0.2"/>
  <cols>
    <col min="2" max="2" width="26" bestFit="1" customWidth="1"/>
    <col min="3" max="4" width="22.6640625" bestFit="1" customWidth="1"/>
    <col min="5" max="5" width="22" bestFit="1" customWidth="1"/>
    <col min="6" max="6" width="22.6640625" bestFit="1" customWidth="1"/>
  </cols>
  <sheetData>
    <row r="2" spans="2:6" x14ac:dyDescent="0.2">
      <c r="B2" s="1" t="s">
        <v>0</v>
      </c>
      <c r="C2" s="3" t="s">
        <v>11</v>
      </c>
      <c r="D2" s="4" t="s">
        <v>60</v>
      </c>
      <c r="E2" s="4" t="s">
        <v>60</v>
      </c>
      <c r="F2" s="4" t="s">
        <v>89</v>
      </c>
    </row>
    <row r="3" spans="2:6" x14ac:dyDescent="0.2">
      <c r="B3" s="1" t="s">
        <v>1</v>
      </c>
      <c r="C3" s="3" t="s">
        <v>17</v>
      </c>
      <c r="D3" s="4" t="s">
        <v>61</v>
      </c>
      <c r="E3" s="4" t="s">
        <v>66</v>
      </c>
      <c r="F3" s="4" t="s">
        <v>91</v>
      </c>
    </row>
    <row r="4" spans="2:6" x14ac:dyDescent="0.2">
      <c r="B4" s="1" t="s">
        <v>2</v>
      </c>
      <c r="C4" s="3" t="s">
        <v>19</v>
      </c>
      <c r="D4" s="4" t="s">
        <v>72</v>
      </c>
      <c r="E4" s="4" t="s">
        <v>70</v>
      </c>
      <c r="F4" s="4" t="s">
        <v>93</v>
      </c>
    </row>
    <row r="5" spans="2:6" x14ac:dyDescent="0.2">
      <c r="B5" s="1" t="s">
        <v>3</v>
      </c>
      <c r="C5" s="3">
        <v>0.70287088601642167</v>
      </c>
      <c r="D5" s="4">
        <v>0.68545381394939653</v>
      </c>
      <c r="E5" s="4">
        <v>0.69192378127424181</v>
      </c>
      <c r="F5" s="4">
        <v>0.66224457620975186</v>
      </c>
    </row>
    <row r="6" spans="2:6" x14ac:dyDescent="0.2">
      <c r="B6" s="1" t="s">
        <v>105</v>
      </c>
      <c r="C6" s="3" t="str">
        <f>IF(C5&gt;0.6,"TRUE","FALSE")</f>
        <v>TRUE</v>
      </c>
      <c r="D6" s="4" t="str">
        <f>IF(D5&gt;0.6,"TRUE","FALSE")</f>
        <v>TRUE</v>
      </c>
      <c r="E6" s="4" t="str">
        <f>IF(E5&gt;0.6,"TRUE","FALSE")</f>
        <v>TRUE</v>
      </c>
      <c r="F6" s="4" t="str">
        <f>IF(F5&gt;0.6,"TRUE","FALSE")</f>
        <v>TRUE</v>
      </c>
    </row>
    <row r="7" spans="2:6" x14ac:dyDescent="0.2">
      <c r="B7" s="1" t="s">
        <v>4</v>
      </c>
      <c r="C7" s="3">
        <v>1.5194485543117061E-2</v>
      </c>
      <c r="D7" s="4">
        <v>1.779794948292019E-3</v>
      </c>
      <c r="E7" s="4">
        <v>6.3665217736084377E-3</v>
      </c>
      <c r="F7" s="4">
        <v>3.585240373795328E-3</v>
      </c>
    </row>
    <row r="8" spans="2:6" x14ac:dyDescent="0.2">
      <c r="B8" s="1" t="s">
        <v>107</v>
      </c>
      <c r="C8" s="3" t="str">
        <f>IF(C7&lt;0.05,"TRUE","FALSE")</f>
        <v>TRUE</v>
      </c>
      <c r="D8" s="4" t="str">
        <f>IF(D7&lt;0.05,"TRUE","FALSE")</f>
        <v>TRUE</v>
      </c>
      <c r="E8" s="4" t="str">
        <f>IF(E7&lt;0.05,"TRUE","FALSE")</f>
        <v>TRUE</v>
      </c>
      <c r="F8" s="4" t="str">
        <f>IF(F7&lt;0.05,"TRUE","FALSE")</f>
        <v>TRUE</v>
      </c>
    </row>
    <row r="9" spans="2:6" x14ac:dyDescent="0.2">
      <c r="B9" s="1" t="s">
        <v>5</v>
      </c>
      <c r="C9" s="3">
        <v>17.693074462728141</v>
      </c>
      <c r="D9" s="4">
        <v>17.153636506002719</v>
      </c>
      <c r="E9" s="4">
        <v>17.041057127069891</v>
      </c>
      <c r="F9" s="4">
        <v>16.401668213741569</v>
      </c>
    </row>
    <row r="10" spans="2:6" x14ac:dyDescent="0.2">
      <c r="B10" s="1" t="s">
        <v>6</v>
      </c>
      <c r="C10" s="3">
        <v>15.494300000000001</v>
      </c>
      <c r="D10" s="4">
        <v>15.494300000000001</v>
      </c>
      <c r="E10" s="4">
        <v>15.494300000000001</v>
      </c>
      <c r="F10" s="4">
        <v>15.494300000000001</v>
      </c>
    </row>
    <row r="11" spans="2:6" x14ac:dyDescent="0.2">
      <c r="B11" s="1" t="s">
        <v>108</v>
      </c>
      <c r="C11" s="3" t="str">
        <f>IF(C9&gt;C10,"TRUE","FALSE")</f>
        <v>TRUE</v>
      </c>
      <c r="D11" s="4" t="str">
        <f>IF(D9&gt;D10,"TRUE","FALSE")</f>
        <v>TRUE</v>
      </c>
      <c r="E11" s="4" t="str">
        <f>IF(E9&gt;E10,"TRUE","FALSE")</f>
        <v>TRUE</v>
      </c>
      <c r="F11" s="4" t="str">
        <f>IF(F9&gt;F10,"TRUE","FALSE")</f>
        <v>TRUE</v>
      </c>
    </row>
    <row r="12" spans="2:6" x14ac:dyDescent="0.2">
      <c r="B12" s="1" t="s">
        <v>7</v>
      </c>
      <c r="C12" s="3">
        <v>1.141908602694419</v>
      </c>
      <c r="D12" s="4">
        <v>1.1070933508453249</v>
      </c>
      <c r="E12" s="4">
        <v>1.099827493147151</v>
      </c>
      <c r="F12" s="4">
        <v>1.0585614202475471</v>
      </c>
    </row>
    <row r="13" spans="2:6" x14ac:dyDescent="0.2">
      <c r="B13" s="1" t="s">
        <v>8</v>
      </c>
      <c r="C13" s="3" t="s">
        <v>26</v>
      </c>
      <c r="D13" s="4" t="s">
        <v>73</v>
      </c>
      <c r="E13" s="4" t="s">
        <v>84</v>
      </c>
      <c r="F13" s="4" t="s">
        <v>99</v>
      </c>
    </row>
    <row r="14" spans="2:6" x14ac:dyDescent="0.2">
      <c r="B14" s="1" t="s">
        <v>9</v>
      </c>
      <c r="C14" s="3">
        <v>0.31932383892139848</v>
      </c>
      <c r="D14" s="4">
        <v>0.95611962620684432</v>
      </c>
      <c r="E14" s="4">
        <v>0.27763050380773141</v>
      </c>
      <c r="F14" s="4">
        <v>0.98865307969919369</v>
      </c>
    </row>
    <row r="15" spans="2:6" x14ac:dyDescent="0.2">
      <c r="B15" s="1" t="s">
        <v>10</v>
      </c>
      <c r="C15" s="3">
        <v>0.21582544301800929</v>
      </c>
      <c r="D15" s="4">
        <v>0.84524787850342231</v>
      </c>
      <c r="E15" s="4">
        <v>0.48523443134334948</v>
      </c>
      <c r="F15" s="4">
        <v>0.98527254074687465</v>
      </c>
    </row>
    <row r="16" spans="2:6" x14ac:dyDescent="0.2">
      <c r="B16" s="1" t="s">
        <v>106</v>
      </c>
      <c r="C16" s="3" t="str">
        <f>IF(AND(C14&gt;0.05,C15&gt;0.05),"TRUE","FALSE")</f>
        <v>TRUE</v>
      </c>
      <c r="D16" s="4" t="str">
        <f>IF(AND(D14&gt;0.05,D15&gt;0.05),"TRUE","FALSE")</f>
        <v>TRUE</v>
      </c>
      <c r="E16" s="4" t="str">
        <f>IF(AND(E14&gt;0.05,E15&gt;0.05),"TRUE","FALSE")</f>
        <v>TRUE</v>
      </c>
      <c r="F16" s="4" t="str">
        <f>IF(AND(F14&gt;0.05,F15&gt;0.05),"TRUE","FALSE")</f>
        <v>TRUE</v>
      </c>
    </row>
    <row r="17" spans="2:6" x14ac:dyDescent="0.2">
      <c r="B17" s="5" t="s">
        <v>109</v>
      </c>
      <c r="C17" s="3" t="str">
        <f>IF(AND(C6="TRUE",C8="TRUE",C11="TRUE"),"TRUE","FALSE")</f>
        <v>TRUE</v>
      </c>
      <c r="D17" s="4" t="str">
        <f>IF(AND(D6="TRUE",D8="TRUE",D11="TRUE"),"TRUE","FALSE")</f>
        <v>TRUE</v>
      </c>
      <c r="E17" s="4" t="str">
        <f>IF(AND(E6="TRUE",E8="TRUE",E11="TRUE"),"TRUE","FALSE")</f>
        <v>TRUE</v>
      </c>
      <c r="F17" s="4" t="str">
        <f>IF(AND(F6="TRUE",F8="TRUE",F11="TRUE"),"TRUE","FALSE")</f>
        <v>TRUE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A3FC-11D6-EE47-AA79-E746AF885B10}">
  <dimension ref="B2:F68"/>
  <sheetViews>
    <sheetView showGridLines="0" zoomScale="65" workbookViewId="0"/>
  </sheetViews>
  <sheetFormatPr baseColWidth="10" defaultRowHeight="15" x14ac:dyDescent="0.2"/>
  <cols>
    <col min="1" max="1" width="10.83203125" style="2"/>
    <col min="2" max="2" width="18.6640625" style="2" bestFit="1" customWidth="1"/>
    <col min="3" max="4" width="6.83203125" style="2" customWidth="1"/>
    <col min="5" max="5" width="12.5" style="2" bestFit="1" customWidth="1"/>
    <col min="6" max="6" width="14.83203125" style="2" bestFit="1" customWidth="1"/>
    <col min="7" max="16384" width="10.83203125" style="2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105</v>
      </c>
    </row>
    <row r="3" spans="2:6" x14ac:dyDescent="0.2">
      <c r="B3" s="3" t="s">
        <v>11</v>
      </c>
      <c r="C3" s="3" t="s">
        <v>17</v>
      </c>
      <c r="D3" s="3" t="s">
        <v>19</v>
      </c>
      <c r="E3" s="3">
        <v>0.70287088601642167</v>
      </c>
      <c r="F3" s="3" t="str">
        <f>IF(E3&gt;0.6,"TRUE","FALSE")</f>
        <v>TRUE</v>
      </c>
    </row>
    <row r="4" spans="2:6" x14ac:dyDescent="0.2">
      <c r="B4" s="4" t="s">
        <v>11</v>
      </c>
      <c r="C4" s="4" t="s">
        <v>12</v>
      </c>
      <c r="D4" s="4" t="s">
        <v>13</v>
      </c>
      <c r="E4" s="4">
        <v>0.72749768455155661</v>
      </c>
      <c r="F4" s="4" t="str">
        <f t="shared" ref="F4:F64" si="0">IF(E4&gt;0.6,"TRUE","FALSE")</f>
        <v>TRUE</v>
      </c>
    </row>
    <row r="5" spans="2:6" x14ac:dyDescent="0.2">
      <c r="B5" s="4" t="s">
        <v>11</v>
      </c>
      <c r="C5" s="4" t="s">
        <v>12</v>
      </c>
      <c r="D5" s="4" t="s">
        <v>15</v>
      </c>
      <c r="E5" s="4">
        <v>0.42420970367010441</v>
      </c>
      <c r="F5" s="4" t="str">
        <f t="shared" si="0"/>
        <v>FALSE</v>
      </c>
    </row>
    <row r="6" spans="2:6" x14ac:dyDescent="0.2">
      <c r="B6" s="4" t="s">
        <v>11</v>
      </c>
      <c r="C6" s="4" t="s">
        <v>12</v>
      </c>
      <c r="D6" s="4" t="s">
        <v>17</v>
      </c>
      <c r="E6" s="4">
        <v>0.71728015041918947</v>
      </c>
      <c r="F6" s="4" t="str">
        <f t="shared" si="0"/>
        <v>TRUE</v>
      </c>
    </row>
    <row r="7" spans="2:6" x14ac:dyDescent="0.2">
      <c r="B7" s="4" t="s">
        <v>11</v>
      </c>
      <c r="C7" s="4" t="s">
        <v>12</v>
      </c>
      <c r="D7" s="4" t="s">
        <v>19</v>
      </c>
      <c r="E7" s="4">
        <v>0.64072722207081034</v>
      </c>
      <c r="F7" s="4" t="str">
        <f t="shared" si="0"/>
        <v>TRUE</v>
      </c>
    </row>
    <row r="8" spans="2:6" x14ac:dyDescent="0.2">
      <c r="B8" s="4" t="s">
        <v>11</v>
      </c>
      <c r="C8" s="4" t="s">
        <v>13</v>
      </c>
      <c r="D8" s="4" t="s">
        <v>15</v>
      </c>
      <c r="E8" s="4">
        <v>0.30862349718332038</v>
      </c>
      <c r="F8" s="4" t="str">
        <f t="shared" si="0"/>
        <v>FALSE</v>
      </c>
    </row>
    <row r="9" spans="2:6" x14ac:dyDescent="0.2">
      <c r="B9" s="4" t="s">
        <v>11</v>
      </c>
      <c r="C9" s="4" t="s">
        <v>13</v>
      </c>
      <c r="D9" s="4" t="s">
        <v>17</v>
      </c>
      <c r="E9" s="4">
        <v>0.56210058301480115</v>
      </c>
      <c r="F9" s="4" t="str">
        <f t="shared" si="0"/>
        <v>FALSE</v>
      </c>
    </row>
    <row r="10" spans="2:6" x14ac:dyDescent="0.2">
      <c r="B10" s="4" t="s">
        <v>11</v>
      </c>
      <c r="C10" s="4" t="s">
        <v>13</v>
      </c>
      <c r="D10" s="4" t="s">
        <v>19</v>
      </c>
      <c r="E10" s="4">
        <v>0.6110558099619432</v>
      </c>
      <c r="F10" s="4" t="str">
        <f t="shared" si="0"/>
        <v>TRUE</v>
      </c>
    </row>
    <row r="11" spans="2:6" x14ac:dyDescent="0.2">
      <c r="B11" s="4" t="s">
        <v>11</v>
      </c>
      <c r="C11" s="4" t="s">
        <v>15</v>
      </c>
      <c r="D11" s="4" t="s">
        <v>17</v>
      </c>
      <c r="E11" s="4">
        <v>0.5250660782914589</v>
      </c>
      <c r="F11" s="4" t="str">
        <f t="shared" si="0"/>
        <v>FALSE</v>
      </c>
    </row>
    <row r="12" spans="2:6" x14ac:dyDescent="0.2">
      <c r="B12" s="4" t="s">
        <v>11</v>
      </c>
      <c r="C12" s="4" t="s">
        <v>15</v>
      </c>
      <c r="D12" s="4" t="s">
        <v>19</v>
      </c>
      <c r="E12" s="4">
        <v>0.50853885084984307</v>
      </c>
      <c r="F12" s="4" t="str">
        <f t="shared" si="0"/>
        <v>FALSE</v>
      </c>
    </row>
    <row r="13" spans="2:6" x14ac:dyDescent="0.2">
      <c r="B13" s="4" t="s">
        <v>27</v>
      </c>
      <c r="C13" s="4" t="s">
        <v>28</v>
      </c>
      <c r="D13" s="4" t="s">
        <v>29</v>
      </c>
      <c r="E13" s="4">
        <v>0.68090445775140118</v>
      </c>
      <c r="F13" s="4" t="str">
        <f t="shared" si="0"/>
        <v>TRUE</v>
      </c>
    </row>
    <row r="14" spans="2:6" x14ac:dyDescent="0.2">
      <c r="B14" s="4" t="s">
        <v>27</v>
      </c>
      <c r="C14" s="4" t="s">
        <v>28</v>
      </c>
      <c r="D14" s="4" t="s">
        <v>31</v>
      </c>
      <c r="E14" s="4">
        <v>0.83744841818422311</v>
      </c>
      <c r="F14" s="4" t="str">
        <f t="shared" si="0"/>
        <v>TRUE</v>
      </c>
    </row>
    <row r="15" spans="2:6" x14ac:dyDescent="0.2">
      <c r="B15" s="4" t="s">
        <v>27</v>
      </c>
      <c r="C15" s="4" t="s">
        <v>28</v>
      </c>
      <c r="D15" s="4" t="s">
        <v>33</v>
      </c>
      <c r="E15" s="4">
        <v>0.75889808026311867</v>
      </c>
      <c r="F15" s="4" t="str">
        <f t="shared" si="0"/>
        <v>TRUE</v>
      </c>
    </row>
    <row r="16" spans="2:6" x14ac:dyDescent="0.2">
      <c r="B16" s="4" t="s">
        <v>27</v>
      </c>
      <c r="C16" s="4" t="s">
        <v>29</v>
      </c>
      <c r="D16" s="4" t="s">
        <v>31</v>
      </c>
      <c r="E16" s="4">
        <v>0.7211459158271506</v>
      </c>
      <c r="F16" s="4" t="str">
        <f t="shared" si="0"/>
        <v>TRUE</v>
      </c>
    </row>
    <row r="17" spans="2:6" x14ac:dyDescent="0.2">
      <c r="B17" s="4" t="s">
        <v>27</v>
      </c>
      <c r="C17" s="4" t="s">
        <v>29</v>
      </c>
      <c r="D17" s="4" t="s">
        <v>33</v>
      </c>
      <c r="E17" s="4">
        <v>0.68898723704133247</v>
      </c>
      <c r="F17" s="4" t="str">
        <f t="shared" si="0"/>
        <v>TRUE</v>
      </c>
    </row>
    <row r="18" spans="2:6" x14ac:dyDescent="0.2">
      <c r="B18" s="4" t="s">
        <v>27</v>
      </c>
      <c r="C18" s="4" t="s">
        <v>31</v>
      </c>
      <c r="D18" s="4" t="s">
        <v>33</v>
      </c>
      <c r="E18" s="4">
        <v>0.82568931883903474</v>
      </c>
      <c r="F18" s="4" t="str">
        <f t="shared" si="0"/>
        <v>TRUE</v>
      </c>
    </row>
    <row r="19" spans="2:6" x14ac:dyDescent="0.2">
      <c r="B19" s="4" t="s">
        <v>38</v>
      </c>
      <c r="C19" s="4" t="s">
        <v>39</v>
      </c>
      <c r="D19" s="4" t="s">
        <v>40</v>
      </c>
      <c r="E19" s="4">
        <v>0.8056668665121649</v>
      </c>
      <c r="F19" s="4" t="str">
        <f t="shared" si="0"/>
        <v>TRUE</v>
      </c>
    </row>
    <row r="20" spans="2:6" x14ac:dyDescent="0.2">
      <c r="B20" s="4" t="s">
        <v>38</v>
      </c>
      <c r="C20" s="4" t="s">
        <v>39</v>
      </c>
      <c r="D20" s="4" t="s">
        <v>42</v>
      </c>
      <c r="E20" s="4">
        <v>0.7229826541268668</v>
      </c>
      <c r="F20" s="4" t="str">
        <f t="shared" si="0"/>
        <v>TRUE</v>
      </c>
    </row>
    <row r="21" spans="2:6" x14ac:dyDescent="0.2">
      <c r="B21" s="4" t="s">
        <v>38</v>
      </c>
      <c r="C21" s="4" t="s">
        <v>39</v>
      </c>
      <c r="D21" s="4" t="s">
        <v>44</v>
      </c>
      <c r="E21" s="4">
        <v>0.73475390211723202</v>
      </c>
      <c r="F21" s="4" t="str">
        <f t="shared" si="0"/>
        <v>TRUE</v>
      </c>
    </row>
    <row r="22" spans="2:6" x14ac:dyDescent="0.2">
      <c r="B22" s="4" t="s">
        <v>38</v>
      </c>
      <c r="C22" s="4" t="s">
        <v>39</v>
      </c>
      <c r="D22" s="4" t="s">
        <v>46</v>
      </c>
      <c r="E22" s="4">
        <v>0.82503963374949996</v>
      </c>
      <c r="F22" s="4" t="str">
        <f t="shared" si="0"/>
        <v>TRUE</v>
      </c>
    </row>
    <row r="23" spans="2:6" x14ac:dyDescent="0.2">
      <c r="B23" s="4" t="s">
        <v>38</v>
      </c>
      <c r="C23" s="4" t="s">
        <v>39</v>
      </c>
      <c r="D23" s="4" t="s">
        <v>48</v>
      </c>
      <c r="E23" s="4">
        <v>0.81780025994967664</v>
      </c>
      <c r="F23" s="4" t="str">
        <f t="shared" si="0"/>
        <v>TRUE</v>
      </c>
    </row>
    <row r="24" spans="2:6" x14ac:dyDescent="0.2">
      <c r="B24" s="4" t="s">
        <v>38</v>
      </c>
      <c r="C24" s="4" t="s">
        <v>40</v>
      </c>
      <c r="D24" s="4" t="s">
        <v>42</v>
      </c>
      <c r="E24" s="4">
        <v>0.62094925286709879</v>
      </c>
      <c r="F24" s="4" t="str">
        <f t="shared" si="0"/>
        <v>TRUE</v>
      </c>
    </row>
    <row r="25" spans="2:6" x14ac:dyDescent="0.2">
      <c r="B25" s="4" t="s">
        <v>38</v>
      </c>
      <c r="C25" s="4" t="s">
        <v>40</v>
      </c>
      <c r="D25" s="4" t="s">
        <v>44</v>
      </c>
      <c r="E25" s="4">
        <v>0.60778074021588169</v>
      </c>
      <c r="F25" s="4" t="str">
        <f t="shared" si="0"/>
        <v>TRUE</v>
      </c>
    </row>
    <row r="26" spans="2:6" x14ac:dyDescent="0.2">
      <c r="B26" s="4" t="s">
        <v>38</v>
      </c>
      <c r="C26" s="4" t="s">
        <v>40</v>
      </c>
      <c r="D26" s="4" t="s">
        <v>46</v>
      </c>
      <c r="E26" s="4">
        <v>0.81284964549124616</v>
      </c>
      <c r="F26" s="4" t="str">
        <f t="shared" si="0"/>
        <v>TRUE</v>
      </c>
    </row>
    <row r="27" spans="2:6" x14ac:dyDescent="0.2">
      <c r="B27" s="4" t="s">
        <v>38</v>
      </c>
      <c r="C27" s="4" t="s">
        <v>40</v>
      </c>
      <c r="D27" s="4" t="s">
        <v>48</v>
      </c>
      <c r="E27" s="4">
        <v>0.85697623947330603</v>
      </c>
      <c r="F27" s="4" t="str">
        <f t="shared" si="0"/>
        <v>TRUE</v>
      </c>
    </row>
    <row r="28" spans="2:6" x14ac:dyDescent="0.2">
      <c r="B28" s="4" t="s">
        <v>38</v>
      </c>
      <c r="C28" s="4" t="s">
        <v>42</v>
      </c>
      <c r="D28" s="4" t="s">
        <v>44</v>
      </c>
      <c r="E28" s="4">
        <v>0.82795743334313165</v>
      </c>
      <c r="F28" s="4" t="str">
        <f t="shared" si="0"/>
        <v>TRUE</v>
      </c>
    </row>
    <row r="29" spans="2:6" x14ac:dyDescent="0.2">
      <c r="B29" s="4" t="s">
        <v>38</v>
      </c>
      <c r="C29" s="4" t="s">
        <v>42</v>
      </c>
      <c r="D29" s="4" t="s">
        <v>46</v>
      </c>
      <c r="E29" s="4">
        <v>0.69456957137456588</v>
      </c>
      <c r="F29" s="4" t="str">
        <f t="shared" si="0"/>
        <v>TRUE</v>
      </c>
    </row>
    <row r="30" spans="2:6" x14ac:dyDescent="0.2">
      <c r="B30" s="4" t="s">
        <v>38</v>
      </c>
      <c r="C30" s="4" t="s">
        <v>42</v>
      </c>
      <c r="D30" s="4" t="s">
        <v>48</v>
      </c>
      <c r="E30" s="4">
        <v>0.72490273291442053</v>
      </c>
      <c r="F30" s="4" t="str">
        <f t="shared" si="0"/>
        <v>TRUE</v>
      </c>
    </row>
    <row r="31" spans="2:6" x14ac:dyDescent="0.2">
      <c r="B31" s="4" t="s">
        <v>38</v>
      </c>
      <c r="C31" s="4" t="s">
        <v>44</v>
      </c>
      <c r="D31" s="4" t="s">
        <v>46</v>
      </c>
      <c r="E31" s="4">
        <v>0.63343991071157091</v>
      </c>
      <c r="F31" s="4" t="str">
        <f t="shared" si="0"/>
        <v>TRUE</v>
      </c>
    </row>
    <row r="32" spans="2:6" x14ac:dyDescent="0.2">
      <c r="B32" s="4" t="s">
        <v>38</v>
      </c>
      <c r="C32" s="4" t="s">
        <v>44</v>
      </c>
      <c r="D32" s="4" t="s">
        <v>48</v>
      </c>
      <c r="E32" s="4">
        <v>0.63268799058185676</v>
      </c>
      <c r="F32" s="4" t="str">
        <f t="shared" si="0"/>
        <v>TRUE</v>
      </c>
    </row>
    <row r="33" spans="2:6" x14ac:dyDescent="0.2">
      <c r="B33" s="4" t="s">
        <v>38</v>
      </c>
      <c r="C33" s="4" t="s">
        <v>46</v>
      </c>
      <c r="D33" s="4" t="s">
        <v>48</v>
      </c>
      <c r="E33" s="4">
        <v>0.90516004945525075</v>
      </c>
      <c r="F33" s="4" t="str">
        <f t="shared" si="0"/>
        <v>TRUE</v>
      </c>
    </row>
    <row r="34" spans="2:6" x14ac:dyDescent="0.2">
      <c r="B34" s="4" t="s">
        <v>60</v>
      </c>
      <c r="C34" s="4" t="s">
        <v>61</v>
      </c>
      <c r="D34" s="4" t="s">
        <v>62</v>
      </c>
      <c r="E34" s="4">
        <v>0.67203198817632304</v>
      </c>
      <c r="F34" s="4" t="str">
        <f t="shared" si="0"/>
        <v>TRUE</v>
      </c>
    </row>
    <row r="35" spans="2:6" x14ac:dyDescent="0.2">
      <c r="B35" s="4" t="s">
        <v>60</v>
      </c>
      <c r="C35" s="4" t="s">
        <v>61</v>
      </c>
      <c r="D35" s="4" t="s">
        <v>64</v>
      </c>
      <c r="E35" s="4">
        <v>0.37335087864226502</v>
      </c>
      <c r="F35" s="4" t="str">
        <f t="shared" si="0"/>
        <v>FALSE</v>
      </c>
    </row>
    <row r="36" spans="2:6" x14ac:dyDescent="0.2">
      <c r="B36" s="4" t="s">
        <v>60</v>
      </c>
      <c r="C36" s="4" t="s">
        <v>61</v>
      </c>
      <c r="D36" s="4" t="s">
        <v>66</v>
      </c>
      <c r="E36" s="4">
        <v>0.45075816698118409</v>
      </c>
      <c r="F36" s="4" t="str">
        <f t="shared" si="0"/>
        <v>FALSE</v>
      </c>
    </row>
    <row r="37" spans="2:6" x14ac:dyDescent="0.2">
      <c r="B37" s="4" t="s">
        <v>60</v>
      </c>
      <c r="C37" s="4" t="s">
        <v>61</v>
      </c>
      <c r="D37" s="4" t="s">
        <v>68</v>
      </c>
      <c r="E37" s="4">
        <v>0.54204984958613822</v>
      </c>
      <c r="F37" s="4" t="str">
        <f t="shared" si="0"/>
        <v>FALSE</v>
      </c>
    </row>
    <row r="38" spans="2:6" x14ac:dyDescent="0.2">
      <c r="B38" s="4" t="s">
        <v>60</v>
      </c>
      <c r="C38" s="4" t="s">
        <v>61</v>
      </c>
      <c r="D38" s="4" t="s">
        <v>70</v>
      </c>
      <c r="E38" s="4">
        <v>0.51670564801711039</v>
      </c>
      <c r="F38" s="4" t="str">
        <f t="shared" si="0"/>
        <v>FALSE</v>
      </c>
    </row>
    <row r="39" spans="2:6" x14ac:dyDescent="0.2">
      <c r="B39" s="4" t="s">
        <v>60</v>
      </c>
      <c r="C39" s="4" t="s">
        <v>61</v>
      </c>
      <c r="D39" s="4" t="s">
        <v>72</v>
      </c>
      <c r="E39" s="4">
        <v>0.68545381394939653</v>
      </c>
      <c r="F39" s="4" t="str">
        <f t="shared" si="0"/>
        <v>TRUE</v>
      </c>
    </row>
    <row r="40" spans="2:6" x14ac:dyDescent="0.2">
      <c r="B40" s="4" t="s">
        <v>60</v>
      </c>
      <c r="C40" s="4" t="s">
        <v>62</v>
      </c>
      <c r="D40" s="4" t="s">
        <v>64</v>
      </c>
      <c r="E40" s="4">
        <v>0.23391202691648999</v>
      </c>
      <c r="F40" s="4" t="str">
        <f t="shared" si="0"/>
        <v>FALSE</v>
      </c>
    </row>
    <row r="41" spans="2:6" x14ac:dyDescent="0.2">
      <c r="B41" s="4" t="s">
        <v>60</v>
      </c>
      <c r="C41" s="4" t="s">
        <v>62</v>
      </c>
      <c r="D41" s="4" t="s">
        <v>66</v>
      </c>
      <c r="E41" s="4">
        <v>0.29288913361807178</v>
      </c>
      <c r="F41" s="4" t="str">
        <f t="shared" si="0"/>
        <v>FALSE</v>
      </c>
    </row>
    <row r="42" spans="2:6" x14ac:dyDescent="0.2">
      <c r="B42" s="4" t="s">
        <v>60</v>
      </c>
      <c r="C42" s="4" t="s">
        <v>62</v>
      </c>
      <c r="D42" s="4" t="s">
        <v>68</v>
      </c>
      <c r="E42" s="4">
        <v>0.59009082737044405</v>
      </c>
      <c r="F42" s="4" t="str">
        <f t="shared" si="0"/>
        <v>FALSE</v>
      </c>
    </row>
    <row r="43" spans="2:6" x14ac:dyDescent="0.2">
      <c r="B43" s="4" t="s">
        <v>60</v>
      </c>
      <c r="C43" s="4" t="s">
        <v>62</v>
      </c>
      <c r="D43" s="4" t="s">
        <v>70</v>
      </c>
      <c r="E43" s="4">
        <v>0.41649301058477139</v>
      </c>
      <c r="F43" s="4" t="str">
        <f t="shared" si="0"/>
        <v>FALSE</v>
      </c>
    </row>
    <row r="44" spans="2:6" x14ac:dyDescent="0.2">
      <c r="B44" s="4" t="s">
        <v>60</v>
      </c>
      <c r="C44" s="4" t="s">
        <v>62</v>
      </c>
      <c r="D44" s="4" t="s">
        <v>72</v>
      </c>
      <c r="E44" s="4">
        <v>0.54606317067606314</v>
      </c>
      <c r="F44" s="4" t="str">
        <f t="shared" si="0"/>
        <v>FALSE</v>
      </c>
    </row>
    <row r="45" spans="2:6" x14ac:dyDescent="0.2">
      <c r="B45" s="4" t="s">
        <v>60</v>
      </c>
      <c r="C45" s="4" t="s">
        <v>64</v>
      </c>
      <c r="D45" s="4" t="s">
        <v>66</v>
      </c>
      <c r="E45" s="4">
        <v>0.4702242886507853</v>
      </c>
      <c r="F45" s="4" t="str">
        <f t="shared" si="0"/>
        <v>FALSE</v>
      </c>
    </row>
    <row r="46" spans="2:6" x14ac:dyDescent="0.2">
      <c r="B46" s="4" t="s">
        <v>60</v>
      </c>
      <c r="C46" s="4" t="s">
        <v>64</v>
      </c>
      <c r="D46" s="4" t="s">
        <v>68</v>
      </c>
      <c r="E46" s="4">
        <v>0.17417311345502079</v>
      </c>
      <c r="F46" s="4" t="str">
        <f t="shared" si="0"/>
        <v>FALSE</v>
      </c>
    </row>
    <row r="47" spans="2:6" x14ac:dyDescent="0.2">
      <c r="B47" s="4" t="s">
        <v>60</v>
      </c>
      <c r="C47" s="4" t="s">
        <v>64</v>
      </c>
      <c r="D47" s="4" t="s">
        <v>70</v>
      </c>
      <c r="E47" s="4">
        <v>0.55556259800380625</v>
      </c>
      <c r="F47" s="4" t="str">
        <f t="shared" si="0"/>
        <v>FALSE</v>
      </c>
    </row>
    <row r="48" spans="2:6" x14ac:dyDescent="0.2">
      <c r="B48" s="4" t="s">
        <v>60</v>
      </c>
      <c r="C48" s="4" t="s">
        <v>64</v>
      </c>
      <c r="D48" s="4" t="s">
        <v>72</v>
      </c>
      <c r="E48" s="4">
        <v>0.26779407241723813</v>
      </c>
      <c r="F48" s="4" t="str">
        <f t="shared" si="0"/>
        <v>FALSE</v>
      </c>
    </row>
    <row r="49" spans="2:6" x14ac:dyDescent="0.2">
      <c r="B49" s="4" t="s">
        <v>60</v>
      </c>
      <c r="C49" s="4" t="s">
        <v>66</v>
      </c>
      <c r="D49" s="4" t="s">
        <v>68</v>
      </c>
      <c r="E49" s="4">
        <v>0.30074553990351272</v>
      </c>
      <c r="F49" s="4" t="str">
        <f t="shared" si="0"/>
        <v>FALSE</v>
      </c>
    </row>
    <row r="50" spans="2:6" x14ac:dyDescent="0.2">
      <c r="B50" s="4" t="s">
        <v>60</v>
      </c>
      <c r="C50" s="4" t="s">
        <v>66</v>
      </c>
      <c r="D50" s="4" t="s">
        <v>70</v>
      </c>
      <c r="E50" s="4">
        <v>0.69192378127424181</v>
      </c>
      <c r="F50" s="4" t="str">
        <f t="shared" si="0"/>
        <v>TRUE</v>
      </c>
    </row>
    <row r="51" spans="2:6" x14ac:dyDescent="0.2">
      <c r="B51" s="4" t="s">
        <v>60</v>
      </c>
      <c r="C51" s="4" t="s">
        <v>66</v>
      </c>
      <c r="D51" s="4" t="s">
        <v>72</v>
      </c>
      <c r="E51" s="4">
        <v>0.2188672109431205</v>
      </c>
      <c r="F51" s="4" t="str">
        <f t="shared" si="0"/>
        <v>FALSE</v>
      </c>
    </row>
    <row r="52" spans="2:6" x14ac:dyDescent="0.2">
      <c r="B52" s="4" t="s">
        <v>60</v>
      </c>
      <c r="C52" s="4" t="s">
        <v>68</v>
      </c>
      <c r="D52" s="4" t="s">
        <v>70</v>
      </c>
      <c r="E52" s="4">
        <v>0.41556083589525611</v>
      </c>
      <c r="F52" s="4" t="str">
        <f t="shared" si="0"/>
        <v>FALSE</v>
      </c>
    </row>
    <row r="53" spans="2:6" x14ac:dyDescent="0.2">
      <c r="B53" s="4" t="s">
        <v>60</v>
      </c>
      <c r="C53" s="4" t="s">
        <v>68</v>
      </c>
      <c r="D53" s="4" t="s">
        <v>72</v>
      </c>
      <c r="E53" s="4">
        <v>0.45494064454386629</v>
      </c>
      <c r="F53" s="4" t="str">
        <f t="shared" si="0"/>
        <v>FALSE</v>
      </c>
    </row>
    <row r="54" spans="2:6" x14ac:dyDescent="0.2">
      <c r="B54" s="4" t="s">
        <v>60</v>
      </c>
      <c r="C54" s="4" t="s">
        <v>70</v>
      </c>
      <c r="D54" s="4" t="s">
        <v>72</v>
      </c>
      <c r="E54" s="4">
        <v>0.32415619752542402</v>
      </c>
      <c r="F54" s="4" t="str">
        <f t="shared" si="0"/>
        <v>FALSE</v>
      </c>
    </row>
    <row r="55" spans="2:6" x14ac:dyDescent="0.2">
      <c r="B55" s="4" t="s">
        <v>89</v>
      </c>
      <c r="C55" s="4" t="s">
        <v>90</v>
      </c>
      <c r="D55" s="4" t="s">
        <v>91</v>
      </c>
      <c r="E55" s="4">
        <v>0.64227363678974303</v>
      </c>
      <c r="F55" s="4" t="str">
        <f t="shared" si="0"/>
        <v>TRUE</v>
      </c>
    </row>
    <row r="56" spans="2:6" x14ac:dyDescent="0.2">
      <c r="B56" s="4" t="s">
        <v>89</v>
      </c>
      <c r="C56" s="4" t="s">
        <v>90</v>
      </c>
      <c r="D56" s="4" t="s">
        <v>93</v>
      </c>
      <c r="E56" s="4">
        <v>0.5924438026330775</v>
      </c>
      <c r="F56" s="4" t="str">
        <f t="shared" si="0"/>
        <v>FALSE</v>
      </c>
    </row>
    <row r="57" spans="2:6" x14ac:dyDescent="0.2">
      <c r="B57" s="4" t="s">
        <v>89</v>
      </c>
      <c r="C57" s="4" t="s">
        <v>90</v>
      </c>
      <c r="D57" s="4" t="s">
        <v>95</v>
      </c>
      <c r="E57" s="4">
        <v>0.62628035015420769</v>
      </c>
      <c r="F57" s="4" t="str">
        <f t="shared" si="0"/>
        <v>TRUE</v>
      </c>
    </row>
    <row r="58" spans="2:6" x14ac:dyDescent="0.2">
      <c r="B58" s="4" t="s">
        <v>89</v>
      </c>
      <c r="C58" s="4" t="s">
        <v>90</v>
      </c>
      <c r="D58" s="4" t="s">
        <v>97</v>
      </c>
      <c r="E58" s="4">
        <v>0.7462449341174292</v>
      </c>
      <c r="F58" s="4" t="str">
        <f t="shared" si="0"/>
        <v>TRUE</v>
      </c>
    </row>
    <row r="59" spans="2:6" x14ac:dyDescent="0.2">
      <c r="B59" s="4" t="s">
        <v>89</v>
      </c>
      <c r="C59" s="4" t="s">
        <v>91</v>
      </c>
      <c r="D59" s="4" t="s">
        <v>93</v>
      </c>
      <c r="E59" s="4">
        <v>0.66224457620975186</v>
      </c>
      <c r="F59" s="4" t="str">
        <f t="shared" si="0"/>
        <v>TRUE</v>
      </c>
    </row>
    <row r="60" spans="2:6" x14ac:dyDescent="0.2">
      <c r="B60" s="4" t="s">
        <v>89</v>
      </c>
      <c r="C60" s="4" t="s">
        <v>91</v>
      </c>
      <c r="D60" s="4" t="s">
        <v>95</v>
      </c>
      <c r="E60" s="4">
        <v>0.80260953324268625</v>
      </c>
      <c r="F60" s="4" t="str">
        <f t="shared" si="0"/>
        <v>TRUE</v>
      </c>
    </row>
    <row r="61" spans="2:6" x14ac:dyDescent="0.2">
      <c r="B61" s="4" t="s">
        <v>89</v>
      </c>
      <c r="C61" s="4" t="s">
        <v>91</v>
      </c>
      <c r="D61" s="4" t="s">
        <v>97</v>
      </c>
      <c r="E61" s="4">
        <v>0.58818258849094385</v>
      </c>
      <c r="F61" s="4" t="str">
        <f t="shared" si="0"/>
        <v>FALSE</v>
      </c>
    </row>
    <row r="62" spans="2:6" x14ac:dyDescent="0.2">
      <c r="B62" s="4" t="s">
        <v>89</v>
      </c>
      <c r="C62" s="4" t="s">
        <v>93</v>
      </c>
      <c r="D62" s="4" t="s">
        <v>95</v>
      </c>
      <c r="E62" s="4">
        <v>0.60339097700196398</v>
      </c>
      <c r="F62" s="4" t="str">
        <f t="shared" si="0"/>
        <v>TRUE</v>
      </c>
    </row>
    <row r="63" spans="2:6" x14ac:dyDescent="0.2">
      <c r="B63" s="4" t="s">
        <v>89</v>
      </c>
      <c r="C63" s="4" t="s">
        <v>93</v>
      </c>
      <c r="D63" s="4" t="s">
        <v>97</v>
      </c>
      <c r="E63" s="4">
        <v>0.54814526152587928</v>
      </c>
      <c r="F63" s="4" t="str">
        <f t="shared" si="0"/>
        <v>FALSE</v>
      </c>
    </row>
    <row r="64" spans="2:6" x14ac:dyDescent="0.2">
      <c r="B64" s="4" t="s">
        <v>89</v>
      </c>
      <c r="C64" s="4" t="s">
        <v>95</v>
      </c>
      <c r="D64" s="4" t="s">
        <v>97</v>
      </c>
      <c r="E64" s="4">
        <v>0.54758236160928564</v>
      </c>
      <c r="F64" s="4" t="str">
        <f t="shared" si="0"/>
        <v>FALSE</v>
      </c>
    </row>
    <row r="67" spans="6:6" x14ac:dyDescent="0.2">
      <c r="F67" s="2">
        <f>COUNTIF(F3:F64,"TRUE")</f>
        <v>35</v>
      </c>
    </row>
    <row r="68" spans="6:6" x14ac:dyDescent="0.2">
      <c r="F68" s="2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BAAD-674E-5C4A-8E1F-8800C399D66C}">
  <dimension ref="B2:F68"/>
  <sheetViews>
    <sheetView showGridLines="0" zoomScale="65" workbookViewId="0"/>
  </sheetViews>
  <sheetFormatPr baseColWidth="10" defaultRowHeight="15" x14ac:dyDescent="0.2"/>
  <cols>
    <col min="1" max="1" width="10.83203125" style="2"/>
    <col min="2" max="2" width="18.6640625" style="2" bestFit="1" customWidth="1"/>
    <col min="3" max="4" width="6.83203125" style="2" customWidth="1"/>
    <col min="5" max="5" width="12.5" style="2" bestFit="1" customWidth="1"/>
    <col min="6" max="6" width="25.83203125" style="2" bestFit="1" customWidth="1"/>
    <col min="7" max="16384" width="10.83203125" style="2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4</v>
      </c>
      <c r="F2" s="1" t="s">
        <v>107</v>
      </c>
    </row>
    <row r="3" spans="2:6" x14ac:dyDescent="0.2">
      <c r="B3" s="3" t="s">
        <v>11</v>
      </c>
      <c r="C3" s="3" t="s">
        <v>17</v>
      </c>
      <c r="D3" s="3" t="s">
        <v>19</v>
      </c>
      <c r="E3" s="3">
        <v>1.5194485543117061E-2</v>
      </c>
      <c r="F3" s="3" t="str">
        <f>IF(E3&lt;0.05,"TRUE","FALSE")</f>
        <v>TRUE</v>
      </c>
    </row>
    <row r="4" spans="2:6" x14ac:dyDescent="0.2">
      <c r="B4" s="4" t="s">
        <v>11</v>
      </c>
      <c r="C4" s="4" t="s">
        <v>12</v>
      </c>
      <c r="D4" s="4" t="s">
        <v>13</v>
      </c>
      <c r="E4" s="4">
        <v>0.62429039628086713</v>
      </c>
      <c r="F4" s="4" t="str">
        <f t="shared" ref="F4:F64" si="0">IF(E4&lt;0.05,"TRUE","FALSE")</f>
        <v>FALSE</v>
      </c>
    </row>
    <row r="5" spans="2:6" x14ac:dyDescent="0.2">
      <c r="B5" s="4" t="s">
        <v>11</v>
      </c>
      <c r="C5" s="4" t="s">
        <v>12</v>
      </c>
      <c r="D5" s="4" t="s">
        <v>15</v>
      </c>
      <c r="E5" s="4">
        <v>0.35709247531911148</v>
      </c>
      <c r="F5" s="4" t="str">
        <f t="shared" si="0"/>
        <v>FALSE</v>
      </c>
    </row>
    <row r="6" spans="2:6" x14ac:dyDescent="0.2">
      <c r="B6" s="4" t="s">
        <v>11</v>
      </c>
      <c r="C6" s="4" t="s">
        <v>12</v>
      </c>
      <c r="D6" s="4" t="s">
        <v>17</v>
      </c>
      <c r="E6" s="4">
        <v>0.35771167467376941</v>
      </c>
      <c r="F6" s="4" t="str">
        <f t="shared" si="0"/>
        <v>FALSE</v>
      </c>
    </row>
    <row r="7" spans="2:6" x14ac:dyDescent="0.2">
      <c r="B7" s="4" t="s">
        <v>11</v>
      </c>
      <c r="C7" s="4" t="s">
        <v>12</v>
      </c>
      <c r="D7" s="4" t="s">
        <v>19</v>
      </c>
      <c r="E7" s="4">
        <v>7.2157364291649442E-2</v>
      </c>
      <c r="F7" s="4" t="str">
        <f t="shared" si="0"/>
        <v>FALSE</v>
      </c>
    </row>
    <row r="8" spans="2:6" x14ac:dyDescent="0.2">
      <c r="B8" s="4" t="s">
        <v>11</v>
      </c>
      <c r="C8" s="4" t="s">
        <v>13</v>
      </c>
      <c r="D8" s="4" t="s">
        <v>15</v>
      </c>
      <c r="E8" s="4">
        <v>0.7575530651481398</v>
      </c>
      <c r="F8" s="4" t="str">
        <f t="shared" si="0"/>
        <v>FALSE</v>
      </c>
    </row>
    <row r="9" spans="2:6" x14ac:dyDescent="0.2">
      <c r="B9" s="4" t="s">
        <v>11</v>
      </c>
      <c r="C9" s="4" t="s">
        <v>13</v>
      </c>
      <c r="D9" s="4" t="s">
        <v>17</v>
      </c>
      <c r="E9" s="4">
        <v>0.96465219762700027</v>
      </c>
      <c r="F9" s="4" t="str">
        <f t="shared" si="0"/>
        <v>FALSE</v>
      </c>
    </row>
    <row r="10" spans="2:6" x14ac:dyDescent="0.2">
      <c r="B10" s="4" t="s">
        <v>11</v>
      </c>
      <c r="C10" s="4" t="s">
        <v>13</v>
      </c>
      <c r="D10" s="4" t="s">
        <v>19</v>
      </c>
      <c r="E10" s="4">
        <v>0.97909985899691887</v>
      </c>
      <c r="F10" s="4" t="str">
        <f t="shared" si="0"/>
        <v>FALSE</v>
      </c>
    </row>
    <row r="11" spans="2:6" x14ac:dyDescent="0.2">
      <c r="B11" s="4" t="s">
        <v>11</v>
      </c>
      <c r="C11" s="4" t="s">
        <v>15</v>
      </c>
      <c r="D11" s="4" t="s">
        <v>17</v>
      </c>
      <c r="E11" s="4">
        <v>0.59810242889079934</v>
      </c>
      <c r="F11" s="4" t="str">
        <f t="shared" si="0"/>
        <v>FALSE</v>
      </c>
    </row>
    <row r="12" spans="2:6" x14ac:dyDescent="0.2">
      <c r="B12" s="4" t="s">
        <v>11</v>
      </c>
      <c r="C12" s="4" t="s">
        <v>15</v>
      </c>
      <c r="D12" s="4" t="s">
        <v>19</v>
      </c>
      <c r="E12" s="4">
        <v>0.39722239752149402</v>
      </c>
      <c r="F12" s="4" t="str">
        <f t="shared" si="0"/>
        <v>FALSE</v>
      </c>
    </row>
    <row r="13" spans="2:6" x14ac:dyDescent="0.2">
      <c r="B13" s="4" t="s">
        <v>27</v>
      </c>
      <c r="C13" s="4" t="s">
        <v>28</v>
      </c>
      <c r="D13" s="4" t="s">
        <v>29</v>
      </c>
      <c r="E13" s="4">
        <v>8.3521356467687158E-2</v>
      </c>
      <c r="F13" s="4" t="str">
        <f t="shared" si="0"/>
        <v>FALSE</v>
      </c>
    </row>
    <row r="14" spans="2:6" x14ac:dyDescent="0.2">
      <c r="B14" s="4" t="s">
        <v>27</v>
      </c>
      <c r="C14" s="4" t="s">
        <v>28</v>
      </c>
      <c r="D14" s="4" t="s">
        <v>31</v>
      </c>
      <c r="E14" s="4">
        <v>0.1088658253601836</v>
      </c>
      <c r="F14" s="4" t="str">
        <f t="shared" si="0"/>
        <v>FALSE</v>
      </c>
    </row>
    <row r="15" spans="2:6" x14ac:dyDescent="0.2">
      <c r="B15" s="4" t="s">
        <v>27</v>
      </c>
      <c r="C15" s="4" t="s">
        <v>28</v>
      </c>
      <c r="D15" s="4" t="s">
        <v>33</v>
      </c>
      <c r="E15" s="4">
        <v>9.4827093997616907E-2</v>
      </c>
      <c r="F15" s="4" t="str">
        <f t="shared" si="0"/>
        <v>FALSE</v>
      </c>
    </row>
    <row r="16" spans="2:6" x14ac:dyDescent="0.2">
      <c r="B16" s="4" t="s">
        <v>27</v>
      </c>
      <c r="C16" s="4" t="s">
        <v>29</v>
      </c>
      <c r="D16" s="4" t="s">
        <v>31</v>
      </c>
      <c r="E16" s="4">
        <v>5.647033247690695E-2</v>
      </c>
      <c r="F16" s="4" t="str">
        <f t="shared" si="0"/>
        <v>FALSE</v>
      </c>
    </row>
    <row r="17" spans="2:6" x14ac:dyDescent="0.2">
      <c r="B17" s="4" t="s">
        <v>27</v>
      </c>
      <c r="C17" s="4" t="s">
        <v>29</v>
      </c>
      <c r="D17" s="4" t="s">
        <v>33</v>
      </c>
      <c r="E17" s="4">
        <v>4.9738497768409232E-2</v>
      </c>
      <c r="F17" s="4" t="str">
        <f t="shared" si="0"/>
        <v>TRUE</v>
      </c>
    </row>
    <row r="18" spans="2:6" x14ac:dyDescent="0.2">
      <c r="B18" s="4" t="s">
        <v>27</v>
      </c>
      <c r="C18" s="4" t="s">
        <v>31</v>
      </c>
      <c r="D18" s="4" t="s">
        <v>33</v>
      </c>
      <c r="E18" s="4">
        <v>5.3229809755071852E-3</v>
      </c>
      <c r="F18" s="4" t="str">
        <f t="shared" si="0"/>
        <v>TRUE</v>
      </c>
    </row>
    <row r="19" spans="2:6" x14ac:dyDescent="0.2">
      <c r="B19" s="4" t="s">
        <v>38</v>
      </c>
      <c r="C19" s="4" t="s">
        <v>39</v>
      </c>
      <c r="D19" s="4" t="s">
        <v>40</v>
      </c>
      <c r="E19" s="4">
        <v>0.16346046169797401</v>
      </c>
      <c r="F19" s="4" t="str">
        <f t="shared" si="0"/>
        <v>FALSE</v>
      </c>
    </row>
    <row r="20" spans="2:6" x14ac:dyDescent="0.2">
      <c r="B20" s="4" t="s">
        <v>38</v>
      </c>
      <c r="C20" s="4" t="s">
        <v>39</v>
      </c>
      <c r="D20" s="4" t="s">
        <v>42</v>
      </c>
      <c r="E20" s="4">
        <v>0.95942140167403345</v>
      </c>
      <c r="F20" s="4" t="str">
        <f t="shared" si="0"/>
        <v>FALSE</v>
      </c>
    </row>
    <row r="21" spans="2:6" x14ac:dyDescent="0.2">
      <c r="B21" s="4" t="s">
        <v>38</v>
      </c>
      <c r="C21" s="4" t="s">
        <v>39</v>
      </c>
      <c r="D21" s="4" t="s">
        <v>44</v>
      </c>
      <c r="E21" s="4">
        <v>0.51408747313077052</v>
      </c>
      <c r="F21" s="4" t="str">
        <f t="shared" si="0"/>
        <v>FALSE</v>
      </c>
    </row>
    <row r="22" spans="2:6" x14ac:dyDescent="0.2">
      <c r="B22" s="4" t="s">
        <v>38</v>
      </c>
      <c r="C22" s="4" t="s">
        <v>39</v>
      </c>
      <c r="D22" s="4" t="s">
        <v>46</v>
      </c>
      <c r="E22" s="4">
        <v>0.77435136541870753</v>
      </c>
      <c r="F22" s="4" t="str">
        <f t="shared" si="0"/>
        <v>FALSE</v>
      </c>
    </row>
    <row r="23" spans="2:6" x14ac:dyDescent="0.2">
      <c r="B23" s="4" t="s">
        <v>38</v>
      </c>
      <c r="C23" s="4" t="s">
        <v>39</v>
      </c>
      <c r="D23" s="4" t="s">
        <v>48</v>
      </c>
      <c r="E23" s="4">
        <v>0.87948256924485912</v>
      </c>
      <c r="F23" s="4" t="str">
        <f t="shared" si="0"/>
        <v>FALSE</v>
      </c>
    </row>
    <row r="24" spans="2:6" x14ac:dyDescent="0.2">
      <c r="B24" s="4" t="s">
        <v>38</v>
      </c>
      <c r="C24" s="4" t="s">
        <v>40</v>
      </c>
      <c r="D24" s="4" t="s">
        <v>42</v>
      </c>
      <c r="E24" s="4">
        <v>0.42453968510540968</v>
      </c>
      <c r="F24" s="4" t="str">
        <f t="shared" si="0"/>
        <v>FALSE</v>
      </c>
    </row>
    <row r="25" spans="2:6" x14ac:dyDescent="0.2">
      <c r="B25" s="4" t="s">
        <v>38</v>
      </c>
      <c r="C25" s="4" t="s">
        <v>40</v>
      </c>
      <c r="D25" s="4" t="s">
        <v>44</v>
      </c>
      <c r="E25" s="4">
        <v>8.0754587199792727E-2</v>
      </c>
      <c r="F25" s="4" t="str">
        <f t="shared" si="0"/>
        <v>FALSE</v>
      </c>
    </row>
    <row r="26" spans="2:6" x14ac:dyDescent="0.2">
      <c r="B26" s="4" t="s">
        <v>38</v>
      </c>
      <c r="C26" s="4" t="s">
        <v>40</v>
      </c>
      <c r="D26" s="4" t="s">
        <v>46</v>
      </c>
      <c r="E26" s="4">
        <v>2.3239007170926099E-2</v>
      </c>
      <c r="F26" s="4" t="str">
        <f t="shared" si="0"/>
        <v>TRUE</v>
      </c>
    </row>
    <row r="27" spans="2:6" x14ac:dyDescent="0.2">
      <c r="B27" s="4" t="s">
        <v>38</v>
      </c>
      <c r="C27" s="4" t="s">
        <v>40</v>
      </c>
      <c r="D27" s="4" t="s">
        <v>48</v>
      </c>
      <c r="E27" s="4">
        <v>0.28558265165915969</v>
      </c>
      <c r="F27" s="4" t="str">
        <f t="shared" si="0"/>
        <v>FALSE</v>
      </c>
    </row>
    <row r="28" spans="2:6" x14ac:dyDescent="0.2">
      <c r="B28" s="4" t="s">
        <v>38</v>
      </c>
      <c r="C28" s="4" t="s">
        <v>42</v>
      </c>
      <c r="D28" s="4" t="s">
        <v>44</v>
      </c>
      <c r="E28" s="4">
        <v>0.51412358425708649</v>
      </c>
      <c r="F28" s="4" t="str">
        <f t="shared" si="0"/>
        <v>FALSE</v>
      </c>
    </row>
    <row r="29" spans="2:6" x14ac:dyDescent="0.2">
      <c r="B29" s="4" t="s">
        <v>38</v>
      </c>
      <c r="C29" s="4" t="s">
        <v>42</v>
      </c>
      <c r="D29" s="4" t="s">
        <v>46</v>
      </c>
      <c r="E29" s="4">
        <v>0.1069501141843132</v>
      </c>
      <c r="F29" s="4" t="str">
        <f t="shared" si="0"/>
        <v>FALSE</v>
      </c>
    </row>
    <row r="30" spans="2:6" x14ac:dyDescent="0.2">
      <c r="B30" s="4" t="s">
        <v>38</v>
      </c>
      <c r="C30" s="4" t="s">
        <v>42</v>
      </c>
      <c r="D30" s="4" t="s">
        <v>48</v>
      </c>
      <c r="E30" s="4">
        <v>1.7790769900930689E-2</v>
      </c>
      <c r="F30" s="4" t="str">
        <f t="shared" si="0"/>
        <v>TRUE</v>
      </c>
    </row>
    <row r="31" spans="2:6" x14ac:dyDescent="0.2">
      <c r="B31" s="4" t="s">
        <v>38</v>
      </c>
      <c r="C31" s="4" t="s">
        <v>44</v>
      </c>
      <c r="D31" s="4" t="s">
        <v>46</v>
      </c>
      <c r="E31" s="4">
        <v>9.447513481397618E-2</v>
      </c>
      <c r="F31" s="4" t="str">
        <f t="shared" si="0"/>
        <v>FALSE</v>
      </c>
    </row>
    <row r="32" spans="2:6" x14ac:dyDescent="0.2">
      <c r="B32" s="4" t="s">
        <v>38</v>
      </c>
      <c r="C32" s="4" t="s">
        <v>44</v>
      </c>
      <c r="D32" s="4" t="s">
        <v>48</v>
      </c>
      <c r="E32" s="4">
        <v>0.1240903854394302</v>
      </c>
      <c r="F32" s="4" t="str">
        <f t="shared" si="0"/>
        <v>FALSE</v>
      </c>
    </row>
    <row r="33" spans="2:6" x14ac:dyDescent="0.2">
      <c r="B33" s="4" t="s">
        <v>38</v>
      </c>
      <c r="C33" s="4" t="s">
        <v>46</v>
      </c>
      <c r="D33" s="4" t="s">
        <v>48</v>
      </c>
      <c r="E33" s="4">
        <v>2.8783457478148141E-2</v>
      </c>
      <c r="F33" s="4" t="str">
        <f t="shared" si="0"/>
        <v>TRUE</v>
      </c>
    </row>
    <row r="34" spans="2:6" x14ac:dyDescent="0.2">
      <c r="B34" s="4" t="s">
        <v>60</v>
      </c>
      <c r="C34" s="4" t="s">
        <v>61</v>
      </c>
      <c r="D34" s="4" t="s">
        <v>62</v>
      </c>
      <c r="E34" s="4">
        <v>0.32035507303833549</v>
      </c>
      <c r="F34" s="4" t="str">
        <f t="shared" si="0"/>
        <v>FALSE</v>
      </c>
    </row>
    <row r="35" spans="2:6" x14ac:dyDescent="0.2">
      <c r="B35" s="4" t="s">
        <v>60</v>
      </c>
      <c r="C35" s="4" t="s">
        <v>61</v>
      </c>
      <c r="D35" s="4" t="s">
        <v>64</v>
      </c>
      <c r="E35" s="4">
        <v>0.79891805238110392</v>
      </c>
      <c r="F35" s="4" t="str">
        <f t="shared" si="0"/>
        <v>FALSE</v>
      </c>
    </row>
    <row r="36" spans="2:6" x14ac:dyDescent="0.2">
      <c r="B36" s="4" t="s">
        <v>60</v>
      </c>
      <c r="C36" s="4" t="s">
        <v>61</v>
      </c>
      <c r="D36" s="4" t="s">
        <v>66</v>
      </c>
      <c r="E36" s="4">
        <v>0.87753465592702695</v>
      </c>
      <c r="F36" s="4" t="str">
        <f t="shared" si="0"/>
        <v>FALSE</v>
      </c>
    </row>
    <row r="37" spans="2:6" x14ac:dyDescent="0.2">
      <c r="B37" s="4" t="s">
        <v>60</v>
      </c>
      <c r="C37" s="4" t="s">
        <v>61</v>
      </c>
      <c r="D37" s="4" t="s">
        <v>68</v>
      </c>
      <c r="E37" s="4">
        <v>8.7222482324012585E-2</v>
      </c>
      <c r="F37" s="4" t="str">
        <f t="shared" si="0"/>
        <v>FALSE</v>
      </c>
    </row>
    <row r="38" spans="2:6" x14ac:dyDescent="0.2">
      <c r="B38" s="4" t="s">
        <v>60</v>
      </c>
      <c r="C38" s="4" t="s">
        <v>61</v>
      </c>
      <c r="D38" s="4" t="s">
        <v>70</v>
      </c>
      <c r="E38" s="4">
        <v>0.81290129647314291</v>
      </c>
      <c r="F38" s="4" t="str">
        <f t="shared" si="0"/>
        <v>FALSE</v>
      </c>
    </row>
    <row r="39" spans="2:6" x14ac:dyDescent="0.2">
      <c r="B39" s="4" t="s">
        <v>60</v>
      </c>
      <c r="C39" s="4" t="s">
        <v>61</v>
      </c>
      <c r="D39" s="4" t="s">
        <v>72</v>
      </c>
      <c r="E39" s="4">
        <v>1.779794948292019E-3</v>
      </c>
      <c r="F39" s="4" t="str">
        <f t="shared" si="0"/>
        <v>TRUE</v>
      </c>
    </row>
    <row r="40" spans="2:6" x14ac:dyDescent="0.2">
      <c r="B40" s="4" t="s">
        <v>60</v>
      </c>
      <c r="C40" s="4" t="s">
        <v>62</v>
      </c>
      <c r="D40" s="4" t="s">
        <v>64</v>
      </c>
      <c r="E40" s="4">
        <v>0.9875696242930283</v>
      </c>
      <c r="F40" s="4" t="str">
        <f t="shared" si="0"/>
        <v>FALSE</v>
      </c>
    </row>
    <row r="41" spans="2:6" x14ac:dyDescent="0.2">
      <c r="B41" s="4" t="s">
        <v>60</v>
      </c>
      <c r="C41" s="4" t="s">
        <v>62</v>
      </c>
      <c r="D41" s="4" t="s">
        <v>66</v>
      </c>
      <c r="E41" s="4">
        <v>0.98441813462803474</v>
      </c>
      <c r="F41" s="4" t="str">
        <f t="shared" si="0"/>
        <v>FALSE</v>
      </c>
    </row>
    <row r="42" spans="2:6" x14ac:dyDescent="0.2">
      <c r="B42" s="4" t="s">
        <v>60</v>
      </c>
      <c r="C42" s="4" t="s">
        <v>62</v>
      </c>
      <c r="D42" s="4" t="s">
        <v>68</v>
      </c>
      <c r="E42" s="4">
        <v>9.3251805631181493E-4</v>
      </c>
      <c r="F42" s="4" t="str">
        <f t="shared" si="0"/>
        <v>TRUE</v>
      </c>
    </row>
    <row r="43" spans="2:6" x14ac:dyDescent="0.2">
      <c r="B43" s="4" t="s">
        <v>60</v>
      </c>
      <c r="C43" s="4" t="s">
        <v>62</v>
      </c>
      <c r="D43" s="4" t="s">
        <v>70</v>
      </c>
      <c r="E43" s="4">
        <v>0.97832290847883019</v>
      </c>
      <c r="F43" s="4" t="str">
        <f t="shared" si="0"/>
        <v>FALSE</v>
      </c>
    </row>
    <row r="44" spans="2:6" x14ac:dyDescent="0.2">
      <c r="B44" s="4" t="s">
        <v>60</v>
      </c>
      <c r="C44" s="4" t="s">
        <v>62</v>
      </c>
      <c r="D44" s="4" t="s">
        <v>72</v>
      </c>
      <c r="E44" s="4">
        <v>5.051043423484549E-2</v>
      </c>
      <c r="F44" s="4" t="str">
        <f t="shared" si="0"/>
        <v>FALSE</v>
      </c>
    </row>
    <row r="45" spans="2:6" x14ac:dyDescent="0.2">
      <c r="B45" s="4" t="s">
        <v>60</v>
      </c>
      <c r="C45" s="4" t="s">
        <v>64</v>
      </c>
      <c r="D45" s="4" t="s">
        <v>66</v>
      </c>
      <c r="E45" s="4">
        <v>3.3715749021615529E-3</v>
      </c>
      <c r="F45" s="4" t="str">
        <f t="shared" si="0"/>
        <v>TRUE</v>
      </c>
    </row>
    <row r="46" spans="2:6" x14ac:dyDescent="0.2">
      <c r="B46" s="4" t="s">
        <v>60</v>
      </c>
      <c r="C46" s="4" t="s">
        <v>64</v>
      </c>
      <c r="D46" s="4" t="s">
        <v>68</v>
      </c>
      <c r="E46" s="4">
        <v>0.38025658228897158</v>
      </c>
      <c r="F46" s="4" t="str">
        <f t="shared" si="0"/>
        <v>FALSE</v>
      </c>
    </row>
    <row r="47" spans="2:6" x14ac:dyDescent="0.2">
      <c r="B47" s="4" t="s">
        <v>60</v>
      </c>
      <c r="C47" s="4" t="s">
        <v>64</v>
      </c>
      <c r="D47" s="4" t="s">
        <v>70</v>
      </c>
      <c r="E47" s="4">
        <v>6.691675705996214E-2</v>
      </c>
      <c r="F47" s="4" t="str">
        <f t="shared" si="0"/>
        <v>FALSE</v>
      </c>
    </row>
    <row r="48" spans="2:6" x14ac:dyDescent="0.2">
      <c r="B48" s="4" t="s">
        <v>60</v>
      </c>
      <c r="C48" s="4" t="s">
        <v>64</v>
      </c>
      <c r="D48" s="4" t="s">
        <v>72</v>
      </c>
      <c r="E48" s="4">
        <v>0.2954895839417454</v>
      </c>
      <c r="F48" s="4" t="str">
        <f t="shared" si="0"/>
        <v>FALSE</v>
      </c>
    </row>
    <row r="49" spans="2:6" x14ac:dyDescent="0.2">
      <c r="B49" s="4" t="s">
        <v>60</v>
      </c>
      <c r="C49" s="4" t="s">
        <v>66</v>
      </c>
      <c r="D49" s="4" t="s">
        <v>68</v>
      </c>
      <c r="E49" s="4">
        <v>0.58954291265758108</v>
      </c>
      <c r="F49" s="4" t="str">
        <f t="shared" si="0"/>
        <v>FALSE</v>
      </c>
    </row>
    <row r="50" spans="2:6" x14ac:dyDescent="0.2">
      <c r="B50" s="4" t="s">
        <v>60</v>
      </c>
      <c r="C50" s="4" t="s">
        <v>66</v>
      </c>
      <c r="D50" s="4" t="s">
        <v>70</v>
      </c>
      <c r="E50" s="4">
        <v>6.3665217736084377E-3</v>
      </c>
      <c r="F50" s="4" t="str">
        <f t="shared" si="0"/>
        <v>TRUE</v>
      </c>
    </row>
    <row r="51" spans="2:6" x14ac:dyDescent="0.2">
      <c r="B51" s="4" t="s">
        <v>60</v>
      </c>
      <c r="C51" s="4" t="s">
        <v>66</v>
      </c>
      <c r="D51" s="4" t="s">
        <v>72</v>
      </c>
      <c r="E51" s="4">
        <v>0.32154399195433447</v>
      </c>
      <c r="F51" s="4" t="str">
        <f t="shared" si="0"/>
        <v>FALSE</v>
      </c>
    </row>
    <row r="52" spans="2:6" x14ac:dyDescent="0.2">
      <c r="B52" s="4" t="s">
        <v>60</v>
      </c>
      <c r="C52" s="4" t="s">
        <v>68</v>
      </c>
      <c r="D52" s="4" t="s">
        <v>70</v>
      </c>
      <c r="E52" s="4">
        <v>0.85417227021690689</v>
      </c>
      <c r="F52" s="4" t="str">
        <f t="shared" si="0"/>
        <v>FALSE</v>
      </c>
    </row>
    <row r="53" spans="2:6" x14ac:dyDescent="0.2">
      <c r="B53" s="4" t="s">
        <v>60</v>
      </c>
      <c r="C53" s="4" t="s">
        <v>68</v>
      </c>
      <c r="D53" s="4" t="s">
        <v>72</v>
      </c>
      <c r="E53" s="4">
        <v>2.5883266623394709E-2</v>
      </c>
      <c r="F53" s="4" t="str">
        <f t="shared" si="0"/>
        <v>TRUE</v>
      </c>
    </row>
    <row r="54" spans="2:6" x14ac:dyDescent="0.2">
      <c r="B54" s="4" t="s">
        <v>60</v>
      </c>
      <c r="C54" s="4" t="s">
        <v>70</v>
      </c>
      <c r="D54" s="4" t="s">
        <v>72</v>
      </c>
      <c r="E54" s="4">
        <v>0.44070411916933672</v>
      </c>
      <c r="F54" s="4" t="str">
        <f t="shared" si="0"/>
        <v>FALSE</v>
      </c>
    </row>
    <row r="55" spans="2:6" x14ac:dyDescent="0.2">
      <c r="B55" s="4" t="s">
        <v>89</v>
      </c>
      <c r="C55" s="4" t="s">
        <v>90</v>
      </c>
      <c r="D55" s="4" t="s">
        <v>91</v>
      </c>
      <c r="E55" s="4">
        <v>0.29134801803676719</v>
      </c>
      <c r="F55" s="4" t="str">
        <f t="shared" si="0"/>
        <v>FALSE</v>
      </c>
    </row>
    <row r="56" spans="2:6" x14ac:dyDescent="0.2">
      <c r="B56" s="4" t="s">
        <v>89</v>
      </c>
      <c r="C56" s="4" t="s">
        <v>90</v>
      </c>
      <c r="D56" s="4" t="s">
        <v>93</v>
      </c>
      <c r="E56" s="4">
        <v>0.12811491895998309</v>
      </c>
      <c r="F56" s="4" t="str">
        <f t="shared" si="0"/>
        <v>FALSE</v>
      </c>
    </row>
    <row r="57" spans="2:6" x14ac:dyDescent="0.2">
      <c r="B57" s="4" t="s">
        <v>89</v>
      </c>
      <c r="C57" s="4" t="s">
        <v>90</v>
      </c>
      <c r="D57" s="4" t="s">
        <v>95</v>
      </c>
      <c r="E57" s="4">
        <v>0.32663524745406158</v>
      </c>
      <c r="F57" s="4" t="str">
        <f t="shared" si="0"/>
        <v>FALSE</v>
      </c>
    </row>
    <row r="58" spans="2:6" x14ac:dyDescent="0.2">
      <c r="B58" s="4" t="s">
        <v>89</v>
      </c>
      <c r="C58" s="4" t="s">
        <v>90</v>
      </c>
      <c r="D58" s="4" t="s">
        <v>97</v>
      </c>
      <c r="E58" s="4">
        <v>6.0895342150732348E-4</v>
      </c>
      <c r="F58" s="4" t="str">
        <f t="shared" si="0"/>
        <v>TRUE</v>
      </c>
    </row>
    <row r="59" spans="2:6" x14ac:dyDescent="0.2">
      <c r="B59" s="4" t="s">
        <v>89</v>
      </c>
      <c r="C59" s="4" t="s">
        <v>91</v>
      </c>
      <c r="D59" s="4" t="s">
        <v>93</v>
      </c>
      <c r="E59" s="4">
        <v>3.585240373795328E-3</v>
      </c>
      <c r="F59" s="4" t="str">
        <f t="shared" si="0"/>
        <v>TRUE</v>
      </c>
    </row>
    <row r="60" spans="2:6" x14ac:dyDescent="0.2">
      <c r="B60" s="4" t="s">
        <v>89</v>
      </c>
      <c r="C60" s="4" t="s">
        <v>91</v>
      </c>
      <c r="D60" s="4" t="s">
        <v>95</v>
      </c>
      <c r="E60" s="4">
        <v>5.0178481078635932E-3</v>
      </c>
      <c r="F60" s="4" t="str">
        <f t="shared" si="0"/>
        <v>TRUE</v>
      </c>
    </row>
    <row r="61" spans="2:6" x14ac:dyDescent="0.2">
      <c r="B61" s="4" t="s">
        <v>89</v>
      </c>
      <c r="C61" s="4" t="s">
        <v>91</v>
      </c>
      <c r="D61" s="4" t="s">
        <v>97</v>
      </c>
      <c r="E61" s="4">
        <v>0.49815582675323888</v>
      </c>
      <c r="F61" s="4" t="str">
        <f t="shared" si="0"/>
        <v>FALSE</v>
      </c>
    </row>
    <row r="62" spans="2:6" x14ac:dyDescent="0.2">
      <c r="B62" s="4" t="s">
        <v>89</v>
      </c>
      <c r="C62" s="4" t="s">
        <v>93</v>
      </c>
      <c r="D62" s="4" t="s">
        <v>95</v>
      </c>
      <c r="E62" s="4">
        <v>4.6528983722556518E-2</v>
      </c>
      <c r="F62" s="4" t="str">
        <f t="shared" si="0"/>
        <v>TRUE</v>
      </c>
    </row>
    <row r="63" spans="2:6" x14ac:dyDescent="0.2">
      <c r="B63" s="4" t="s">
        <v>89</v>
      </c>
      <c r="C63" s="4" t="s">
        <v>93</v>
      </c>
      <c r="D63" s="4" t="s">
        <v>97</v>
      </c>
      <c r="E63" s="4">
        <v>0.25315939246245539</v>
      </c>
      <c r="F63" s="4" t="str">
        <f t="shared" si="0"/>
        <v>FALSE</v>
      </c>
    </row>
    <row r="64" spans="2:6" x14ac:dyDescent="0.2">
      <c r="B64" s="4" t="s">
        <v>89</v>
      </c>
      <c r="C64" s="4" t="s">
        <v>95</v>
      </c>
      <c r="D64" s="4" t="s">
        <v>97</v>
      </c>
      <c r="E64" s="4">
        <v>0.48855572989233748</v>
      </c>
      <c r="F64" s="4" t="str">
        <f t="shared" si="0"/>
        <v>FALSE</v>
      </c>
    </row>
    <row r="67" spans="6:6" x14ac:dyDescent="0.2">
      <c r="F67" s="2">
        <f>COUNTIF(F3:F64,"TRUE")</f>
        <v>15</v>
      </c>
    </row>
    <row r="68" spans="6:6" x14ac:dyDescent="0.2">
      <c r="F68" s="2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1F8D-FDE6-0E4B-B063-07744E0758B9}">
  <dimension ref="B2:H68"/>
  <sheetViews>
    <sheetView showGridLines="0" zoomScale="65" workbookViewId="0"/>
  </sheetViews>
  <sheetFormatPr baseColWidth="10" defaultRowHeight="15" x14ac:dyDescent="0.2"/>
  <cols>
    <col min="1" max="1" width="10.83203125" style="2"/>
    <col min="2" max="2" width="18.6640625" style="2" bestFit="1" customWidth="1"/>
    <col min="3" max="4" width="6.83203125" style="2" customWidth="1"/>
    <col min="5" max="5" width="12.5" style="2" bestFit="1" customWidth="1"/>
    <col min="6" max="6" width="8.33203125" style="2" customWidth="1"/>
    <col min="7" max="7" width="26.33203125" style="2" bestFit="1" customWidth="1"/>
    <col min="8" max="8" width="12.5" style="2" bestFit="1" customWidth="1"/>
    <col min="9" max="16384" width="10.83203125" style="2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5</v>
      </c>
      <c r="F2" s="1" t="s">
        <v>6</v>
      </c>
      <c r="G2" s="1" t="s">
        <v>108</v>
      </c>
      <c r="H2" s="1" t="s">
        <v>7</v>
      </c>
    </row>
    <row r="3" spans="2:8" x14ac:dyDescent="0.2">
      <c r="B3" s="3" t="s">
        <v>11</v>
      </c>
      <c r="C3" s="3" t="s">
        <v>17</v>
      </c>
      <c r="D3" s="3" t="s">
        <v>19</v>
      </c>
      <c r="E3" s="3">
        <v>17.693074462728141</v>
      </c>
      <c r="F3" s="3">
        <v>15.494300000000001</v>
      </c>
      <c r="G3" s="3" t="str">
        <f>IF(E3&gt;F3,"TRUE","FALSE")</f>
        <v>TRUE</v>
      </c>
      <c r="H3" s="3">
        <v>1.141908602694419</v>
      </c>
    </row>
    <row r="4" spans="2:8" x14ac:dyDescent="0.2">
      <c r="B4" s="4" t="s">
        <v>11</v>
      </c>
      <c r="C4" s="4" t="s">
        <v>12</v>
      </c>
      <c r="D4" s="4" t="s">
        <v>13</v>
      </c>
      <c r="E4" s="4">
        <v>6.6403248632597434</v>
      </c>
      <c r="F4" s="4">
        <v>15.494300000000001</v>
      </c>
      <c r="G4" s="4" t="str">
        <f t="shared" ref="G4:G64" si="0">IF(E4&gt;F4,"TRUE","FALSE")</f>
        <v>FALSE</v>
      </c>
      <c r="H4" s="4">
        <v>0.42856565725845908</v>
      </c>
    </row>
    <row r="5" spans="2:8" x14ac:dyDescent="0.2">
      <c r="B5" s="4" t="s">
        <v>11</v>
      </c>
      <c r="C5" s="4" t="s">
        <v>12</v>
      </c>
      <c r="D5" s="4" t="s">
        <v>15</v>
      </c>
      <c r="E5" s="4">
        <v>6.3509400549049086</v>
      </c>
      <c r="F5" s="4">
        <v>15.494300000000001</v>
      </c>
      <c r="G5" s="4" t="str">
        <f t="shared" si="0"/>
        <v>FALSE</v>
      </c>
      <c r="H5" s="4">
        <v>0.40988880135952632</v>
      </c>
    </row>
    <row r="6" spans="2:8" x14ac:dyDescent="0.2">
      <c r="B6" s="4" t="s">
        <v>11</v>
      </c>
      <c r="C6" s="4" t="s">
        <v>12</v>
      </c>
      <c r="D6" s="4" t="s">
        <v>17</v>
      </c>
      <c r="E6" s="4">
        <v>20.52401584368673</v>
      </c>
      <c r="F6" s="4">
        <v>15.494300000000001</v>
      </c>
      <c r="G6" s="4" t="str">
        <f t="shared" si="0"/>
        <v>TRUE</v>
      </c>
      <c r="H6" s="4">
        <v>1.324617171713903</v>
      </c>
    </row>
    <row r="7" spans="2:8" x14ac:dyDescent="0.2">
      <c r="B7" s="4" t="s">
        <v>11</v>
      </c>
      <c r="C7" s="4" t="s">
        <v>12</v>
      </c>
      <c r="D7" s="4" t="s">
        <v>19</v>
      </c>
      <c r="E7" s="4">
        <v>30.276986545184219</v>
      </c>
      <c r="F7" s="4">
        <v>15.494300000000001</v>
      </c>
      <c r="G7" s="4" t="str">
        <f t="shared" si="0"/>
        <v>TRUE</v>
      </c>
      <c r="H7" s="4">
        <v>1.9540725650842059</v>
      </c>
    </row>
    <row r="8" spans="2:8" x14ac:dyDescent="0.2">
      <c r="B8" s="4" t="s">
        <v>11</v>
      </c>
      <c r="C8" s="4" t="s">
        <v>13</v>
      </c>
      <c r="D8" s="4" t="s">
        <v>15</v>
      </c>
      <c r="E8" s="4">
        <v>10.678160777180929</v>
      </c>
      <c r="F8" s="4">
        <v>15.494300000000001</v>
      </c>
      <c r="G8" s="4" t="str">
        <f t="shared" si="0"/>
        <v>FALSE</v>
      </c>
      <c r="H8" s="4">
        <v>0.6891670341468108</v>
      </c>
    </row>
    <row r="9" spans="2:8" x14ac:dyDescent="0.2">
      <c r="B9" s="4" t="s">
        <v>11</v>
      </c>
      <c r="C9" s="4" t="s">
        <v>13</v>
      </c>
      <c r="D9" s="4" t="s">
        <v>17</v>
      </c>
      <c r="E9" s="4">
        <v>9.5410349446592715</v>
      </c>
      <c r="F9" s="4">
        <v>15.494300000000001</v>
      </c>
      <c r="G9" s="4" t="str">
        <f t="shared" si="0"/>
        <v>FALSE</v>
      </c>
      <c r="H9" s="4">
        <v>0.61577708864932723</v>
      </c>
    </row>
    <row r="10" spans="2:8" x14ac:dyDescent="0.2">
      <c r="B10" s="4" t="s">
        <v>11</v>
      </c>
      <c r="C10" s="4" t="s">
        <v>13</v>
      </c>
      <c r="D10" s="4" t="s">
        <v>19</v>
      </c>
      <c r="E10" s="4">
        <v>12.6254916304062</v>
      </c>
      <c r="F10" s="4">
        <v>15.494300000000001</v>
      </c>
      <c r="G10" s="4" t="str">
        <f t="shared" si="0"/>
        <v>FALSE</v>
      </c>
      <c r="H10" s="4">
        <v>0.81484750072001932</v>
      </c>
    </row>
    <row r="11" spans="2:8" x14ac:dyDescent="0.2">
      <c r="B11" s="4" t="s">
        <v>11</v>
      </c>
      <c r="C11" s="4" t="s">
        <v>15</v>
      </c>
      <c r="D11" s="4" t="s">
        <v>17</v>
      </c>
      <c r="E11" s="4">
        <v>7.870858334406333</v>
      </c>
      <c r="F11" s="4">
        <v>15.494300000000001</v>
      </c>
      <c r="G11" s="4" t="str">
        <f t="shared" si="0"/>
        <v>FALSE</v>
      </c>
      <c r="H11" s="4">
        <v>0.50798411896028428</v>
      </c>
    </row>
    <row r="12" spans="2:8" x14ac:dyDescent="0.2">
      <c r="B12" s="4" t="s">
        <v>11</v>
      </c>
      <c r="C12" s="4" t="s">
        <v>15</v>
      </c>
      <c r="D12" s="4" t="s">
        <v>19</v>
      </c>
      <c r="E12" s="4">
        <v>11.773873520418361</v>
      </c>
      <c r="F12" s="4">
        <v>15.494300000000001</v>
      </c>
      <c r="G12" s="4" t="str">
        <f t="shared" si="0"/>
        <v>FALSE</v>
      </c>
      <c r="H12" s="4">
        <v>0.75988418453356155</v>
      </c>
    </row>
    <row r="13" spans="2:8" x14ac:dyDescent="0.2">
      <c r="B13" s="4" t="s">
        <v>27</v>
      </c>
      <c r="C13" s="4" t="s">
        <v>28</v>
      </c>
      <c r="D13" s="4" t="s">
        <v>29</v>
      </c>
      <c r="E13" s="4">
        <v>9.8731980554913878</v>
      </c>
      <c r="F13" s="4">
        <v>15.494300000000001</v>
      </c>
      <c r="G13" s="4" t="str">
        <f t="shared" si="0"/>
        <v>FALSE</v>
      </c>
      <c r="H13" s="4">
        <v>0.63721485033150171</v>
      </c>
    </row>
    <row r="14" spans="2:8" x14ac:dyDescent="0.2">
      <c r="B14" s="4" t="s">
        <v>27</v>
      </c>
      <c r="C14" s="4" t="s">
        <v>28</v>
      </c>
      <c r="D14" s="4" t="s">
        <v>31</v>
      </c>
      <c r="E14" s="4">
        <v>7.3854599333237738</v>
      </c>
      <c r="F14" s="4">
        <v>15.494300000000001</v>
      </c>
      <c r="G14" s="4" t="str">
        <f t="shared" si="0"/>
        <v>FALSE</v>
      </c>
      <c r="H14" s="4">
        <v>0.47665657263146921</v>
      </c>
    </row>
    <row r="15" spans="2:8" x14ac:dyDescent="0.2">
      <c r="B15" s="4" t="s">
        <v>27</v>
      </c>
      <c r="C15" s="4" t="s">
        <v>28</v>
      </c>
      <c r="D15" s="4" t="s">
        <v>33</v>
      </c>
      <c r="E15" s="4">
        <v>9.1581054413821565</v>
      </c>
      <c r="F15" s="4">
        <v>15.494300000000001</v>
      </c>
      <c r="G15" s="4" t="str">
        <f t="shared" si="0"/>
        <v>FALSE</v>
      </c>
      <c r="H15" s="4">
        <v>0.59106287095139221</v>
      </c>
    </row>
    <row r="16" spans="2:8" x14ac:dyDescent="0.2">
      <c r="B16" s="4" t="s">
        <v>27</v>
      </c>
      <c r="C16" s="4" t="s">
        <v>29</v>
      </c>
      <c r="D16" s="4" t="s">
        <v>31</v>
      </c>
      <c r="E16" s="4">
        <v>8.0674922386898817</v>
      </c>
      <c r="F16" s="4">
        <v>15.494300000000001</v>
      </c>
      <c r="G16" s="4" t="str">
        <f t="shared" si="0"/>
        <v>FALSE</v>
      </c>
      <c r="H16" s="4">
        <v>0.52067484421302557</v>
      </c>
    </row>
    <row r="17" spans="2:8" x14ac:dyDescent="0.2">
      <c r="B17" s="4" t="s">
        <v>27</v>
      </c>
      <c r="C17" s="4" t="s">
        <v>29</v>
      </c>
      <c r="D17" s="4" t="s">
        <v>33</v>
      </c>
      <c r="E17" s="4">
        <v>9.0650797921892696</v>
      </c>
      <c r="F17" s="4">
        <v>15.494300000000001</v>
      </c>
      <c r="G17" s="4" t="str">
        <f t="shared" si="0"/>
        <v>FALSE</v>
      </c>
      <c r="H17" s="4">
        <v>0.58505900829267987</v>
      </c>
    </row>
    <row r="18" spans="2:8" x14ac:dyDescent="0.2">
      <c r="B18" s="4" t="s">
        <v>27</v>
      </c>
      <c r="C18" s="4" t="s">
        <v>31</v>
      </c>
      <c r="D18" s="4" t="s">
        <v>33</v>
      </c>
      <c r="E18" s="4">
        <v>13.654984867311249</v>
      </c>
      <c r="F18" s="4">
        <v>15.494300000000001</v>
      </c>
      <c r="G18" s="4" t="str">
        <f t="shared" si="0"/>
        <v>FALSE</v>
      </c>
      <c r="H18" s="4">
        <v>0.88129085323707756</v>
      </c>
    </row>
    <row r="19" spans="2:8" x14ac:dyDescent="0.2">
      <c r="B19" s="4" t="s">
        <v>38</v>
      </c>
      <c r="C19" s="4" t="s">
        <v>39</v>
      </c>
      <c r="D19" s="4" t="s">
        <v>40</v>
      </c>
      <c r="E19" s="4">
        <v>10.038340648284979</v>
      </c>
      <c r="F19" s="4">
        <v>15.494300000000001</v>
      </c>
      <c r="G19" s="4" t="str">
        <f t="shared" si="0"/>
        <v>FALSE</v>
      </c>
      <c r="H19" s="4">
        <v>0.64787313065352903</v>
      </c>
    </row>
    <row r="20" spans="2:8" x14ac:dyDescent="0.2">
      <c r="B20" s="4" t="s">
        <v>38</v>
      </c>
      <c r="C20" s="4" t="s">
        <v>39</v>
      </c>
      <c r="D20" s="4" t="s">
        <v>42</v>
      </c>
      <c r="E20" s="4">
        <v>7.9021033135501311</v>
      </c>
      <c r="F20" s="4">
        <v>15.494300000000001</v>
      </c>
      <c r="G20" s="4" t="str">
        <f t="shared" si="0"/>
        <v>FALSE</v>
      </c>
      <c r="H20" s="4">
        <v>0.51000066563511293</v>
      </c>
    </row>
    <row r="21" spans="2:8" x14ac:dyDescent="0.2">
      <c r="B21" s="4" t="s">
        <v>38</v>
      </c>
      <c r="C21" s="4" t="s">
        <v>39</v>
      </c>
      <c r="D21" s="4" t="s">
        <v>44</v>
      </c>
      <c r="E21" s="4">
        <v>8.0973171540470776</v>
      </c>
      <c r="F21" s="4">
        <v>15.494300000000001</v>
      </c>
      <c r="G21" s="4" t="str">
        <f t="shared" si="0"/>
        <v>FALSE</v>
      </c>
      <c r="H21" s="4">
        <v>0.52259974016554978</v>
      </c>
    </row>
    <row r="22" spans="2:8" x14ac:dyDescent="0.2">
      <c r="B22" s="4" t="s">
        <v>38</v>
      </c>
      <c r="C22" s="4" t="s">
        <v>39</v>
      </c>
      <c r="D22" s="4" t="s">
        <v>46</v>
      </c>
      <c r="E22" s="4">
        <v>5.2008862470897181</v>
      </c>
      <c r="F22" s="4">
        <v>15.494300000000001</v>
      </c>
      <c r="G22" s="4" t="str">
        <f t="shared" si="0"/>
        <v>FALSE</v>
      </c>
      <c r="H22" s="4">
        <v>0.33566448610713079</v>
      </c>
    </row>
    <row r="23" spans="2:8" x14ac:dyDescent="0.2">
      <c r="B23" s="4" t="s">
        <v>38</v>
      </c>
      <c r="C23" s="4" t="s">
        <v>39</v>
      </c>
      <c r="D23" s="4" t="s">
        <v>48</v>
      </c>
      <c r="E23" s="4">
        <v>6.5736097188213538</v>
      </c>
      <c r="F23" s="4">
        <v>15.494300000000001</v>
      </c>
      <c r="G23" s="4" t="str">
        <f t="shared" si="0"/>
        <v>FALSE</v>
      </c>
      <c r="H23" s="4">
        <v>0.42425987097328388</v>
      </c>
    </row>
    <row r="24" spans="2:8" x14ac:dyDescent="0.2">
      <c r="B24" s="4" t="s">
        <v>38</v>
      </c>
      <c r="C24" s="4" t="s">
        <v>40</v>
      </c>
      <c r="D24" s="4" t="s">
        <v>42</v>
      </c>
      <c r="E24" s="4">
        <v>6.5181340940934387</v>
      </c>
      <c r="F24" s="4">
        <v>15.494300000000001</v>
      </c>
      <c r="G24" s="4" t="str">
        <f t="shared" si="0"/>
        <v>FALSE</v>
      </c>
      <c r="H24" s="4">
        <v>0.42067948175093017</v>
      </c>
    </row>
    <row r="25" spans="2:8" x14ac:dyDescent="0.2">
      <c r="B25" s="4" t="s">
        <v>38</v>
      </c>
      <c r="C25" s="4" t="s">
        <v>40</v>
      </c>
      <c r="D25" s="4" t="s">
        <v>44</v>
      </c>
      <c r="E25" s="4">
        <v>8.4092122776626823</v>
      </c>
      <c r="F25" s="4">
        <v>15.494300000000001</v>
      </c>
      <c r="G25" s="4" t="str">
        <f t="shared" si="0"/>
        <v>FALSE</v>
      </c>
      <c r="H25" s="4">
        <v>0.54272940872854414</v>
      </c>
    </row>
    <row r="26" spans="2:8" x14ac:dyDescent="0.2">
      <c r="B26" s="4" t="s">
        <v>38</v>
      </c>
      <c r="C26" s="4" t="s">
        <v>40</v>
      </c>
      <c r="D26" s="4" t="s">
        <v>46</v>
      </c>
      <c r="E26" s="4">
        <v>10.840417969111151</v>
      </c>
      <c r="F26" s="4">
        <v>15.494300000000001</v>
      </c>
      <c r="G26" s="4" t="str">
        <f t="shared" si="0"/>
        <v>FALSE</v>
      </c>
      <c r="H26" s="4">
        <v>0.69963909109228206</v>
      </c>
    </row>
    <row r="27" spans="2:8" x14ac:dyDescent="0.2">
      <c r="B27" s="4" t="s">
        <v>38</v>
      </c>
      <c r="C27" s="4" t="s">
        <v>40</v>
      </c>
      <c r="D27" s="4" t="s">
        <v>48</v>
      </c>
      <c r="E27" s="4">
        <v>6.3598566774494172</v>
      </c>
      <c r="F27" s="4">
        <v>15.494300000000001</v>
      </c>
      <c r="G27" s="4" t="str">
        <f t="shared" si="0"/>
        <v>FALSE</v>
      </c>
      <c r="H27" s="4">
        <v>0.41046427895738541</v>
      </c>
    </row>
    <row r="28" spans="2:8" x14ac:dyDescent="0.2">
      <c r="B28" s="4" t="s">
        <v>38</v>
      </c>
      <c r="C28" s="4" t="s">
        <v>42</v>
      </c>
      <c r="D28" s="4" t="s">
        <v>44</v>
      </c>
      <c r="E28" s="4">
        <v>5.1421069808040967</v>
      </c>
      <c r="F28" s="4">
        <v>15.494300000000001</v>
      </c>
      <c r="G28" s="4" t="str">
        <f t="shared" si="0"/>
        <v>FALSE</v>
      </c>
      <c r="H28" s="4">
        <v>0.33187088031108841</v>
      </c>
    </row>
    <row r="29" spans="2:8" x14ac:dyDescent="0.2">
      <c r="B29" s="4" t="s">
        <v>38</v>
      </c>
      <c r="C29" s="4" t="s">
        <v>42</v>
      </c>
      <c r="D29" s="4" t="s">
        <v>46</v>
      </c>
      <c r="E29" s="4">
        <v>8.0475859884933367</v>
      </c>
      <c r="F29" s="4">
        <v>15.494300000000001</v>
      </c>
      <c r="G29" s="4" t="str">
        <f t="shared" si="0"/>
        <v>FALSE</v>
      </c>
      <c r="H29" s="4">
        <v>0.51939009755157295</v>
      </c>
    </row>
    <row r="30" spans="2:8" x14ac:dyDescent="0.2">
      <c r="B30" s="4" t="s">
        <v>38</v>
      </c>
      <c r="C30" s="4" t="s">
        <v>42</v>
      </c>
      <c r="D30" s="4" t="s">
        <v>48</v>
      </c>
      <c r="E30" s="4">
        <v>12.52730098111115</v>
      </c>
      <c r="F30" s="4">
        <v>15.494300000000001</v>
      </c>
      <c r="G30" s="4" t="str">
        <f t="shared" si="0"/>
        <v>FALSE</v>
      </c>
      <c r="H30" s="4">
        <v>0.80851028966207894</v>
      </c>
    </row>
    <row r="31" spans="2:8" x14ac:dyDescent="0.2">
      <c r="B31" s="4" t="s">
        <v>38</v>
      </c>
      <c r="C31" s="4" t="s">
        <v>44</v>
      </c>
      <c r="D31" s="4" t="s">
        <v>46</v>
      </c>
      <c r="E31" s="4">
        <v>7.9548312233767779</v>
      </c>
      <c r="F31" s="4">
        <v>15.494300000000001</v>
      </c>
      <c r="G31" s="4" t="str">
        <f t="shared" si="0"/>
        <v>FALSE</v>
      </c>
      <c r="H31" s="4">
        <v>0.51340371771404825</v>
      </c>
    </row>
    <row r="32" spans="2:8" x14ac:dyDescent="0.2">
      <c r="B32" s="4" t="s">
        <v>38</v>
      </c>
      <c r="C32" s="4" t="s">
        <v>44</v>
      </c>
      <c r="D32" s="4" t="s">
        <v>48</v>
      </c>
      <c r="E32" s="4">
        <v>8.1374742271691733</v>
      </c>
      <c r="F32" s="4">
        <v>15.494300000000001</v>
      </c>
      <c r="G32" s="4" t="str">
        <f t="shared" si="0"/>
        <v>FALSE</v>
      </c>
      <c r="H32" s="4">
        <v>0.52519147216519446</v>
      </c>
    </row>
    <row r="33" spans="2:8" x14ac:dyDescent="0.2">
      <c r="B33" s="4" t="s">
        <v>38</v>
      </c>
      <c r="C33" s="4" t="s">
        <v>46</v>
      </c>
      <c r="D33" s="4" t="s">
        <v>48</v>
      </c>
      <c r="E33" s="4">
        <v>11.061053464731851</v>
      </c>
      <c r="F33" s="4">
        <v>15.494300000000001</v>
      </c>
      <c r="G33" s="4" t="str">
        <f t="shared" si="0"/>
        <v>FALSE</v>
      </c>
      <c r="H33" s="4">
        <v>0.71387887576281928</v>
      </c>
    </row>
    <row r="34" spans="2:8" x14ac:dyDescent="0.2">
      <c r="B34" s="4" t="s">
        <v>60</v>
      </c>
      <c r="C34" s="4" t="s">
        <v>61</v>
      </c>
      <c r="D34" s="4" t="s">
        <v>62</v>
      </c>
      <c r="E34" s="4">
        <v>4.9760917151123856</v>
      </c>
      <c r="F34" s="4">
        <v>15.494300000000001</v>
      </c>
      <c r="G34" s="4" t="str">
        <f t="shared" si="0"/>
        <v>FALSE</v>
      </c>
      <c r="H34" s="4">
        <v>0.32115627779973188</v>
      </c>
    </row>
    <row r="35" spans="2:8" x14ac:dyDescent="0.2">
      <c r="B35" s="4" t="s">
        <v>60</v>
      </c>
      <c r="C35" s="4" t="s">
        <v>61</v>
      </c>
      <c r="D35" s="4" t="s">
        <v>64</v>
      </c>
      <c r="E35" s="4">
        <v>5.8836809805225219</v>
      </c>
      <c r="F35" s="4">
        <v>15.494300000000001</v>
      </c>
      <c r="G35" s="4" t="str">
        <f t="shared" si="0"/>
        <v>FALSE</v>
      </c>
      <c r="H35" s="4">
        <v>0.37973196469169451</v>
      </c>
    </row>
    <row r="36" spans="2:8" x14ac:dyDescent="0.2">
      <c r="B36" s="4" t="s">
        <v>60</v>
      </c>
      <c r="C36" s="4" t="s">
        <v>61</v>
      </c>
      <c r="D36" s="4" t="s">
        <v>66</v>
      </c>
      <c r="E36" s="4">
        <v>5.8896508687066094</v>
      </c>
      <c r="F36" s="4">
        <v>15.494300000000001</v>
      </c>
      <c r="G36" s="4" t="str">
        <f t="shared" si="0"/>
        <v>FALSE</v>
      </c>
      <c r="H36" s="4">
        <v>0.38011726045749777</v>
      </c>
    </row>
    <row r="37" spans="2:8" x14ac:dyDescent="0.2">
      <c r="B37" s="4" t="s">
        <v>60</v>
      </c>
      <c r="C37" s="4" t="s">
        <v>61</v>
      </c>
      <c r="D37" s="4" t="s">
        <v>68</v>
      </c>
      <c r="E37" s="4">
        <v>7.9789851515858654</v>
      </c>
      <c r="F37" s="4">
        <v>15.494300000000001</v>
      </c>
      <c r="G37" s="4" t="str">
        <f t="shared" si="0"/>
        <v>FALSE</v>
      </c>
      <c r="H37" s="4">
        <v>0.51496260893269552</v>
      </c>
    </row>
    <row r="38" spans="2:8" x14ac:dyDescent="0.2">
      <c r="B38" s="4" t="s">
        <v>60</v>
      </c>
      <c r="C38" s="4" t="s">
        <v>61</v>
      </c>
      <c r="D38" s="4" t="s">
        <v>70</v>
      </c>
      <c r="E38" s="4">
        <v>4.5699354783248394</v>
      </c>
      <c r="F38" s="4">
        <v>15.494300000000001</v>
      </c>
      <c r="G38" s="4" t="str">
        <f t="shared" si="0"/>
        <v>FALSE</v>
      </c>
      <c r="H38" s="4">
        <v>0.29494300990201811</v>
      </c>
    </row>
    <row r="39" spans="2:8" x14ac:dyDescent="0.2">
      <c r="B39" s="4" t="s">
        <v>60</v>
      </c>
      <c r="C39" s="4" t="s">
        <v>61</v>
      </c>
      <c r="D39" s="4" t="s">
        <v>72</v>
      </c>
      <c r="E39" s="4">
        <v>17.153636506002719</v>
      </c>
      <c r="F39" s="4">
        <v>15.494300000000001</v>
      </c>
      <c r="G39" s="4" t="str">
        <f t="shared" si="0"/>
        <v>TRUE</v>
      </c>
      <c r="H39" s="4">
        <v>1.1070933508453249</v>
      </c>
    </row>
    <row r="40" spans="2:8" x14ac:dyDescent="0.2">
      <c r="B40" s="4" t="s">
        <v>60</v>
      </c>
      <c r="C40" s="4" t="s">
        <v>62</v>
      </c>
      <c r="D40" s="4" t="s">
        <v>64</v>
      </c>
      <c r="E40" s="4">
        <v>5.4971397792031533</v>
      </c>
      <c r="F40" s="4">
        <v>15.494300000000001</v>
      </c>
      <c r="G40" s="4" t="str">
        <f t="shared" si="0"/>
        <v>FALSE</v>
      </c>
      <c r="H40" s="4">
        <v>0.3547846484967474</v>
      </c>
    </row>
    <row r="41" spans="2:8" x14ac:dyDescent="0.2">
      <c r="B41" s="4" t="s">
        <v>60</v>
      </c>
      <c r="C41" s="4" t="s">
        <v>62</v>
      </c>
      <c r="D41" s="4" t="s">
        <v>66</v>
      </c>
      <c r="E41" s="4">
        <v>5.4278428904567546</v>
      </c>
      <c r="F41" s="4">
        <v>15.494300000000001</v>
      </c>
      <c r="G41" s="4" t="str">
        <f t="shared" si="0"/>
        <v>FALSE</v>
      </c>
      <c r="H41" s="4">
        <v>0.3503122367875125</v>
      </c>
    </row>
    <row r="42" spans="2:8" x14ac:dyDescent="0.2">
      <c r="B42" s="4" t="s">
        <v>60</v>
      </c>
      <c r="C42" s="4" t="s">
        <v>62</v>
      </c>
      <c r="D42" s="4" t="s">
        <v>68</v>
      </c>
      <c r="E42" s="4">
        <v>19.058608411562101</v>
      </c>
      <c r="F42" s="4">
        <v>15.494300000000001</v>
      </c>
      <c r="G42" s="4" t="str">
        <f t="shared" si="0"/>
        <v>TRUE</v>
      </c>
      <c r="H42" s="4">
        <v>1.230039976737388</v>
      </c>
    </row>
    <row r="43" spans="2:8" x14ac:dyDescent="0.2">
      <c r="B43" s="4" t="s">
        <v>60</v>
      </c>
      <c r="C43" s="4" t="s">
        <v>62</v>
      </c>
      <c r="D43" s="4" t="s">
        <v>70</v>
      </c>
      <c r="E43" s="4">
        <v>5.0416065748030654</v>
      </c>
      <c r="F43" s="4">
        <v>15.494300000000001</v>
      </c>
      <c r="G43" s="4" t="str">
        <f t="shared" si="0"/>
        <v>FALSE</v>
      </c>
      <c r="H43" s="4">
        <v>0.32538459787167312</v>
      </c>
    </row>
    <row r="44" spans="2:8" x14ac:dyDescent="0.2">
      <c r="B44" s="4" t="s">
        <v>60</v>
      </c>
      <c r="C44" s="4" t="s">
        <v>62</v>
      </c>
      <c r="D44" s="4" t="s">
        <v>72</v>
      </c>
      <c r="E44" s="4">
        <v>11.28068416201287</v>
      </c>
      <c r="F44" s="4">
        <v>15.494300000000001</v>
      </c>
      <c r="G44" s="4" t="str">
        <f t="shared" si="0"/>
        <v>FALSE</v>
      </c>
      <c r="H44" s="4">
        <v>0.72805381088612398</v>
      </c>
    </row>
    <row r="45" spans="2:8" x14ac:dyDescent="0.2">
      <c r="B45" s="4" t="s">
        <v>60</v>
      </c>
      <c r="C45" s="4" t="s">
        <v>64</v>
      </c>
      <c r="D45" s="4" t="s">
        <v>66</v>
      </c>
      <c r="E45" s="4">
        <v>17.63948373029708</v>
      </c>
      <c r="F45" s="4">
        <v>15.494300000000001</v>
      </c>
      <c r="G45" s="4" t="str">
        <f t="shared" si="0"/>
        <v>TRUE</v>
      </c>
      <c r="H45" s="4">
        <v>1.1384498641627621</v>
      </c>
    </row>
    <row r="46" spans="2:8" x14ac:dyDescent="0.2">
      <c r="B46" s="4" t="s">
        <v>60</v>
      </c>
      <c r="C46" s="4" t="s">
        <v>64</v>
      </c>
      <c r="D46" s="4" t="s">
        <v>68</v>
      </c>
      <c r="E46" s="4">
        <v>5.3241599152480914</v>
      </c>
      <c r="F46" s="4">
        <v>15.494300000000001</v>
      </c>
      <c r="G46" s="4" t="str">
        <f t="shared" si="0"/>
        <v>FALSE</v>
      </c>
      <c r="H46" s="4">
        <v>0.34362055176730089</v>
      </c>
    </row>
    <row r="47" spans="2:8" x14ac:dyDescent="0.2">
      <c r="B47" s="4" t="s">
        <v>60</v>
      </c>
      <c r="C47" s="4" t="s">
        <v>64</v>
      </c>
      <c r="D47" s="4" t="s">
        <v>70</v>
      </c>
      <c r="E47" s="4">
        <v>12.40908070021028</v>
      </c>
      <c r="F47" s="4">
        <v>15.494300000000001</v>
      </c>
      <c r="G47" s="4" t="str">
        <f t="shared" si="0"/>
        <v>FALSE</v>
      </c>
      <c r="H47" s="4">
        <v>0.80088036892342884</v>
      </c>
    </row>
    <row r="48" spans="2:8" x14ac:dyDescent="0.2">
      <c r="B48" s="4" t="s">
        <v>60</v>
      </c>
      <c r="C48" s="4" t="s">
        <v>64</v>
      </c>
      <c r="D48" s="4" t="s">
        <v>72</v>
      </c>
      <c r="E48" s="4">
        <v>5.567391162342485</v>
      </c>
      <c r="F48" s="4">
        <v>15.494300000000001</v>
      </c>
      <c r="G48" s="4" t="str">
        <f t="shared" si="0"/>
        <v>FALSE</v>
      </c>
      <c r="H48" s="4">
        <v>0.35931866314338079</v>
      </c>
    </row>
    <row r="49" spans="2:8" x14ac:dyDescent="0.2">
      <c r="B49" s="4" t="s">
        <v>60</v>
      </c>
      <c r="C49" s="4" t="s">
        <v>66</v>
      </c>
      <c r="D49" s="4" t="s">
        <v>68</v>
      </c>
      <c r="E49" s="4">
        <v>4.5433814013054334</v>
      </c>
      <c r="F49" s="4">
        <v>15.494300000000001</v>
      </c>
      <c r="G49" s="4" t="str">
        <f t="shared" si="0"/>
        <v>FALSE</v>
      </c>
      <c r="H49" s="4">
        <v>0.29322921340786168</v>
      </c>
    </row>
    <row r="50" spans="2:8" x14ac:dyDescent="0.2">
      <c r="B50" s="4" t="s">
        <v>60</v>
      </c>
      <c r="C50" s="4" t="s">
        <v>66</v>
      </c>
      <c r="D50" s="4" t="s">
        <v>70</v>
      </c>
      <c r="E50" s="4">
        <v>17.041057127069891</v>
      </c>
      <c r="F50" s="4">
        <v>15.494300000000001</v>
      </c>
      <c r="G50" s="4" t="str">
        <f t="shared" si="0"/>
        <v>TRUE</v>
      </c>
      <c r="H50" s="4">
        <v>1.099827493147151</v>
      </c>
    </row>
    <row r="51" spans="2:8" x14ac:dyDescent="0.2">
      <c r="B51" s="4" t="s">
        <v>60</v>
      </c>
      <c r="C51" s="4" t="s">
        <v>66</v>
      </c>
      <c r="D51" s="4" t="s">
        <v>72</v>
      </c>
      <c r="E51" s="4">
        <v>5.2301853248377332</v>
      </c>
      <c r="F51" s="4">
        <v>15.494300000000001</v>
      </c>
      <c r="G51" s="4" t="str">
        <f t="shared" si="0"/>
        <v>FALSE</v>
      </c>
      <c r="H51" s="4">
        <v>0.33755544457237391</v>
      </c>
    </row>
    <row r="52" spans="2:8" x14ac:dyDescent="0.2">
      <c r="B52" s="4" t="s">
        <v>60</v>
      </c>
      <c r="C52" s="4" t="s">
        <v>68</v>
      </c>
      <c r="D52" s="4" t="s">
        <v>70</v>
      </c>
      <c r="E52" s="4">
        <v>3.947528632141474</v>
      </c>
      <c r="F52" s="4">
        <v>15.494300000000001</v>
      </c>
      <c r="G52" s="4" t="str">
        <f t="shared" si="0"/>
        <v>FALSE</v>
      </c>
      <c r="H52" s="4">
        <v>0.25477295729019528</v>
      </c>
    </row>
    <row r="53" spans="2:8" x14ac:dyDescent="0.2">
      <c r="B53" s="4" t="s">
        <v>60</v>
      </c>
      <c r="C53" s="4" t="s">
        <v>68</v>
      </c>
      <c r="D53" s="4" t="s">
        <v>72</v>
      </c>
      <c r="E53" s="4">
        <v>11.46654023884423</v>
      </c>
      <c r="F53" s="4">
        <v>15.494300000000001</v>
      </c>
      <c r="G53" s="4" t="str">
        <f t="shared" si="0"/>
        <v>FALSE</v>
      </c>
      <c r="H53" s="4">
        <v>0.74004893663116322</v>
      </c>
    </row>
    <row r="54" spans="2:8" x14ac:dyDescent="0.2">
      <c r="B54" s="4" t="s">
        <v>60</v>
      </c>
      <c r="C54" s="4" t="s">
        <v>70</v>
      </c>
      <c r="D54" s="4" t="s">
        <v>72</v>
      </c>
      <c r="E54" s="4">
        <v>4.1706063032333187</v>
      </c>
      <c r="F54" s="4">
        <v>15.494300000000001</v>
      </c>
      <c r="G54" s="4" t="str">
        <f t="shared" si="0"/>
        <v>FALSE</v>
      </c>
      <c r="H54" s="4">
        <v>0.26917035963117519</v>
      </c>
    </row>
    <row r="55" spans="2:8" x14ac:dyDescent="0.2">
      <c r="B55" s="4" t="s">
        <v>89</v>
      </c>
      <c r="C55" s="4" t="s">
        <v>90</v>
      </c>
      <c r="D55" s="4" t="s">
        <v>91</v>
      </c>
      <c r="E55" s="4">
        <v>4.5833478929943752</v>
      </c>
      <c r="F55" s="4">
        <v>15.494300000000001</v>
      </c>
      <c r="G55" s="4" t="str">
        <f t="shared" si="0"/>
        <v>FALSE</v>
      </c>
      <c r="H55" s="4">
        <v>0.29580864530791162</v>
      </c>
    </row>
    <row r="56" spans="2:8" x14ac:dyDescent="0.2">
      <c r="B56" s="4" t="s">
        <v>89</v>
      </c>
      <c r="C56" s="4" t="s">
        <v>90</v>
      </c>
      <c r="D56" s="4" t="s">
        <v>93</v>
      </c>
      <c r="E56" s="4">
        <v>6.7186748686780344</v>
      </c>
      <c r="F56" s="4">
        <v>15.494300000000001</v>
      </c>
      <c r="G56" s="4" t="str">
        <f t="shared" si="0"/>
        <v>FALSE</v>
      </c>
      <c r="H56" s="4">
        <v>0.43362235587784109</v>
      </c>
    </row>
    <row r="57" spans="2:8" x14ac:dyDescent="0.2">
      <c r="B57" s="4" t="s">
        <v>89</v>
      </c>
      <c r="C57" s="4" t="s">
        <v>90</v>
      </c>
      <c r="D57" s="4" t="s">
        <v>95</v>
      </c>
      <c r="E57" s="4">
        <v>4.5148638483790213</v>
      </c>
      <c r="F57" s="4">
        <v>15.494300000000001</v>
      </c>
      <c r="G57" s="4" t="str">
        <f t="shared" si="0"/>
        <v>FALSE</v>
      </c>
      <c r="H57" s="4">
        <v>0.29138869444757243</v>
      </c>
    </row>
    <row r="58" spans="2:8" x14ac:dyDescent="0.2">
      <c r="B58" s="4" t="s">
        <v>89</v>
      </c>
      <c r="C58" s="4" t="s">
        <v>90</v>
      </c>
      <c r="D58" s="4" t="s">
        <v>97</v>
      </c>
      <c r="E58" s="4">
        <v>14.988213896728309</v>
      </c>
      <c r="F58" s="4">
        <v>15.494300000000001</v>
      </c>
      <c r="G58" s="4" t="str">
        <f t="shared" si="0"/>
        <v>FALSE</v>
      </c>
      <c r="H58" s="4">
        <v>0.96733727220515364</v>
      </c>
    </row>
    <row r="59" spans="2:8" x14ac:dyDescent="0.2">
      <c r="B59" s="4" t="s">
        <v>89</v>
      </c>
      <c r="C59" s="4" t="s">
        <v>91</v>
      </c>
      <c r="D59" s="4" t="s">
        <v>93</v>
      </c>
      <c r="E59" s="4">
        <v>16.401668213741569</v>
      </c>
      <c r="F59" s="4">
        <v>15.494300000000001</v>
      </c>
      <c r="G59" s="4" t="str">
        <f t="shared" si="0"/>
        <v>TRUE</v>
      </c>
      <c r="H59" s="4">
        <v>1.0585614202475471</v>
      </c>
    </row>
    <row r="60" spans="2:8" x14ac:dyDescent="0.2">
      <c r="B60" s="4" t="s">
        <v>89</v>
      </c>
      <c r="C60" s="4" t="s">
        <v>91</v>
      </c>
      <c r="D60" s="4" t="s">
        <v>95</v>
      </c>
      <c r="E60" s="4">
        <v>14.016288449405231</v>
      </c>
      <c r="F60" s="4">
        <v>15.494300000000001</v>
      </c>
      <c r="G60" s="4" t="str">
        <f t="shared" si="0"/>
        <v>FALSE</v>
      </c>
      <c r="H60" s="4">
        <v>0.90460933694360024</v>
      </c>
    </row>
    <row r="61" spans="2:8" x14ac:dyDescent="0.2">
      <c r="B61" s="4" t="s">
        <v>89</v>
      </c>
      <c r="C61" s="4" t="s">
        <v>91</v>
      </c>
      <c r="D61" s="4" t="s">
        <v>97</v>
      </c>
      <c r="E61" s="4">
        <v>5.8501976530316169</v>
      </c>
      <c r="F61" s="4">
        <v>15.494300000000001</v>
      </c>
      <c r="G61" s="4" t="str">
        <f t="shared" si="0"/>
        <v>FALSE</v>
      </c>
      <c r="H61" s="4">
        <v>0.37757095532109342</v>
      </c>
    </row>
    <row r="62" spans="2:8" x14ac:dyDescent="0.2">
      <c r="B62" s="4" t="s">
        <v>89</v>
      </c>
      <c r="C62" s="4" t="s">
        <v>93</v>
      </c>
      <c r="D62" s="4" t="s">
        <v>95</v>
      </c>
      <c r="E62" s="4">
        <v>10.78359359578806</v>
      </c>
      <c r="F62" s="4">
        <v>15.494300000000001</v>
      </c>
      <c r="G62" s="4" t="str">
        <f t="shared" si="0"/>
        <v>FALSE</v>
      </c>
      <c r="H62" s="4">
        <v>0.69597165382031223</v>
      </c>
    </row>
    <row r="63" spans="2:8" x14ac:dyDescent="0.2">
      <c r="B63" s="4" t="s">
        <v>89</v>
      </c>
      <c r="C63" s="4" t="s">
        <v>93</v>
      </c>
      <c r="D63" s="4" t="s">
        <v>97</v>
      </c>
      <c r="E63" s="4">
        <v>6.7814605791079421</v>
      </c>
      <c r="F63" s="4">
        <v>15.494300000000001</v>
      </c>
      <c r="G63" s="4" t="str">
        <f t="shared" si="0"/>
        <v>FALSE</v>
      </c>
      <c r="H63" s="4">
        <v>0.43767453703025899</v>
      </c>
    </row>
    <row r="64" spans="2:8" x14ac:dyDescent="0.2">
      <c r="B64" s="4" t="s">
        <v>89</v>
      </c>
      <c r="C64" s="4" t="s">
        <v>95</v>
      </c>
      <c r="D64" s="4" t="s">
        <v>97</v>
      </c>
      <c r="E64" s="4">
        <v>5.6758408440812076</v>
      </c>
      <c r="F64" s="4">
        <v>15.494300000000001</v>
      </c>
      <c r="G64" s="4" t="str">
        <f t="shared" si="0"/>
        <v>FALSE</v>
      </c>
      <c r="H64" s="4">
        <v>0.36631799075022481</v>
      </c>
    </row>
    <row r="67" spans="7:7" x14ac:dyDescent="0.2">
      <c r="G67" s="2">
        <f>COUNTIF(G3:G64,"TRUE")</f>
        <v>8</v>
      </c>
    </row>
    <row r="68" spans="7:7" x14ac:dyDescent="0.2">
      <c r="G68" s="2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113C-D390-6F48-B463-1C771FA4C69A}">
  <dimension ref="B2:C16"/>
  <sheetViews>
    <sheetView showGridLines="0" workbookViewId="0"/>
  </sheetViews>
  <sheetFormatPr baseColWidth="10" defaultRowHeight="15" x14ac:dyDescent="0.2"/>
  <cols>
    <col min="1" max="1" width="10.83203125" style="2"/>
    <col min="2" max="2" width="26" style="2" bestFit="1" customWidth="1"/>
    <col min="3" max="3" width="22.6640625" style="2" bestFit="1" customWidth="1"/>
    <col min="4" max="16384" width="10.83203125" style="2"/>
  </cols>
  <sheetData>
    <row r="2" spans="2:3" x14ac:dyDescent="0.2">
      <c r="B2" s="1" t="s">
        <v>0</v>
      </c>
      <c r="C2" s="3" t="s">
        <v>11</v>
      </c>
    </row>
    <row r="3" spans="2:3" x14ac:dyDescent="0.2">
      <c r="B3" s="1" t="s">
        <v>1</v>
      </c>
      <c r="C3" s="3" t="s">
        <v>17</v>
      </c>
    </row>
    <row r="4" spans="2:3" x14ac:dyDescent="0.2">
      <c r="B4" s="1" t="s">
        <v>2</v>
      </c>
      <c r="C4" s="3" t="s">
        <v>19</v>
      </c>
    </row>
    <row r="5" spans="2:3" x14ac:dyDescent="0.2">
      <c r="B5" s="1" t="s">
        <v>3</v>
      </c>
      <c r="C5" s="3">
        <v>0.70287088601642167</v>
      </c>
    </row>
    <row r="6" spans="2:3" x14ac:dyDescent="0.2">
      <c r="B6" s="1" t="s">
        <v>105</v>
      </c>
      <c r="C6" s="3" t="str">
        <f>IF(C5&gt;0.6,"TRUE","FALSE")</f>
        <v>TRUE</v>
      </c>
    </row>
    <row r="7" spans="2:3" x14ac:dyDescent="0.2">
      <c r="B7" s="1" t="s">
        <v>4</v>
      </c>
      <c r="C7" s="3">
        <v>1.5194485543117061E-2</v>
      </c>
    </row>
    <row r="8" spans="2:3" x14ac:dyDescent="0.2">
      <c r="B8" s="1" t="s">
        <v>107</v>
      </c>
      <c r="C8" s="3" t="str">
        <f>IF(C7&lt;0.05,"TRUE","FALSE")</f>
        <v>TRUE</v>
      </c>
    </row>
    <row r="9" spans="2:3" x14ac:dyDescent="0.2">
      <c r="B9" s="1" t="s">
        <v>5</v>
      </c>
      <c r="C9" s="3">
        <v>17.693074462728141</v>
      </c>
    </row>
    <row r="10" spans="2:3" x14ac:dyDescent="0.2">
      <c r="B10" s="1" t="s">
        <v>6</v>
      </c>
      <c r="C10" s="3">
        <v>15.494300000000001</v>
      </c>
    </row>
    <row r="11" spans="2:3" x14ac:dyDescent="0.2">
      <c r="B11" s="1" t="s">
        <v>108</v>
      </c>
      <c r="C11" s="3" t="str">
        <f>IF(C9&gt;C10,"TRUE","FALSE")</f>
        <v>TRUE</v>
      </c>
    </row>
    <row r="12" spans="2:3" x14ac:dyDescent="0.2">
      <c r="B12" s="1" t="s">
        <v>7</v>
      </c>
      <c r="C12" s="3">
        <v>1.141908602694419</v>
      </c>
    </row>
    <row r="13" spans="2:3" x14ac:dyDescent="0.2">
      <c r="B13" s="1" t="s">
        <v>8</v>
      </c>
      <c r="C13" s="3" t="s">
        <v>26</v>
      </c>
    </row>
    <row r="14" spans="2:3" x14ac:dyDescent="0.2">
      <c r="B14" s="1" t="s">
        <v>9</v>
      </c>
      <c r="C14" s="3">
        <v>0.31932383892139848</v>
      </c>
    </row>
    <row r="15" spans="2:3" x14ac:dyDescent="0.2">
      <c r="B15" s="1" t="s">
        <v>10</v>
      </c>
      <c r="C15" s="3">
        <v>0.21582544301800929</v>
      </c>
    </row>
    <row r="16" spans="2:3" x14ac:dyDescent="0.2">
      <c r="B16" s="1" t="s">
        <v>106</v>
      </c>
      <c r="C16" s="3" t="str">
        <f>IF(AND(C14&gt;0.05,C15&gt;0.05),"TRUE","FALSE")</f>
        <v>TRUE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Todos</vt:lpstr>
      <vt:lpstr>Pasan</vt:lpstr>
      <vt:lpstr>Pasan transpuesta</vt:lpstr>
      <vt:lpstr>Correlación</vt:lpstr>
      <vt:lpstr>ADF</vt:lpstr>
      <vt:lpstr>Johansen</vt:lpstr>
      <vt:lpstr>Selected pair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HERRERA IBARRA, IVANNA</cp:lastModifiedBy>
  <dcterms:created xsi:type="dcterms:W3CDTF">2025-11-13T23:25:27Z</dcterms:created>
  <dcterms:modified xsi:type="dcterms:W3CDTF">2025-11-14T00:42:59Z</dcterms:modified>
</cp:coreProperties>
</file>