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ivannaherrera/Downloads/Visual studio/Proyectos trading/004PairsTrading/"/>
    </mc:Choice>
  </mc:AlternateContent>
  <xr:revisionPtr revIDLastSave="0" documentId="13_ncr:1_{9DF104D0-C6DB-A246-818D-94BE4B5C9820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3" i="1"/>
</calcChain>
</file>

<file path=xl/sharedStrings.xml><?xml version="1.0" encoding="utf-8"?>
<sst xmlns="http://schemas.openxmlformats.org/spreadsheetml/2006/main" count="116" uniqueCount="72">
  <si>
    <t>Sector</t>
  </si>
  <si>
    <t>Ticker1</t>
  </si>
  <si>
    <t>Ticker2</t>
  </si>
  <si>
    <t>RollingCorr</t>
  </si>
  <si>
    <t>ADF_pvalue</t>
  </si>
  <si>
    <t>TraceStat</t>
  </si>
  <si>
    <t>Crit_95</t>
  </si>
  <si>
    <t>Cointegrated_Johansen</t>
  </si>
  <si>
    <t>Strength</t>
  </si>
  <si>
    <t>Eigenvector</t>
  </si>
  <si>
    <t>Energy</t>
  </si>
  <si>
    <t>XOM</t>
  </si>
  <si>
    <t>EOG</t>
  </si>
  <si>
    <t>[ 0.31778082 -0.06268567]</t>
  </si>
  <si>
    <t>OXY</t>
  </si>
  <si>
    <t>[0.176319   0.04110187]</t>
  </si>
  <si>
    <t>[0.02421953 0.12041552]</t>
  </si>
  <si>
    <t>Consumer_Discretionary</t>
  </si>
  <si>
    <t>LOW</t>
  </si>
  <si>
    <t>NKE</t>
  </si>
  <si>
    <t>[ 0.19538445 -0.25052374]</t>
  </si>
  <si>
    <t>Real_Estate</t>
  </si>
  <si>
    <t>AMT</t>
  </si>
  <si>
    <t>PLD</t>
  </si>
  <si>
    <t>[ 0.13661115 -0.3502805 ]</t>
  </si>
  <si>
    <t>Financials</t>
  </si>
  <si>
    <t>SCHW</t>
  </si>
  <si>
    <t>BK</t>
  </si>
  <si>
    <t>[ 0.43588112 -0.54375427]</t>
  </si>
  <si>
    <t>MS</t>
  </si>
  <si>
    <t>[ 0.37952504 -0.46381184]</t>
  </si>
  <si>
    <t>BLK</t>
  </si>
  <si>
    <t>[ 0.37999036 -0.04464736]</t>
  </si>
  <si>
    <t>[ 0.40515241 -0.3874311 ]</t>
  </si>
  <si>
    <t>[ 0.41547965 -0.03906522]</t>
  </si>
  <si>
    <t>[ 0.33661073 -0.03340498]</t>
  </si>
  <si>
    <t>Industrials</t>
  </si>
  <si>
    <t>RTX</t>
  </si>
  <si>
    <t>EMR</t>
  </si>
  <si>
    <t>[ 0.21263165 -0.31504723]</t>
  </si>
  <si>
    <t>HON</t>
  </si>
  <si>
    <t>[ 0.26785419 -0.09700592]</t>
  </si>
  <si>
    <t>LMT</t>
  </si>
  <si>
    <t>[ 0.21649303 -0.02877684]</t>
  </si>
  <si>
    <t>[ 0.22800415 -0.05137533]</t>
  </si>
  <si>
    <t>[ 0.19751082 -0.01785914]</t>
  </si>
  <si>
    <t>[ 0.18011774 -0.06764064]</t>
  </si>
  <si>
    <t>Technology</t>
  </si>
  <si>
    <t>CSCO</t>
  </si>
  <si>
    <t>ADBE</t>
  </si>
  <si>
    <t>[ 0.55961215 -0.06370079]</t>
  </si>
  <si>
    <t>Consumer_Staples</t>
  </si>
  <si>
    <t>MDLZ</t>
  </si>
  <si>
    <t>KMB</t>
  </si>
  <si>
    <t>[ 0.47875293 -0.20064185]</t>
  </si>
  <si>
    <t>KO</t>
  </si>
  <si>
    <t>[ 0.36061115 -0.50433351]</t>
  </si>
  <si>
    <t>PEP</t>
  </si>
  <si>
    <t>[ 0.4710036  -0.18720615]</t>
  </si>
  <si>
    <t>[ 0.12747955 -0.40589612]</t>
  </si>
  <si>
    <t>[ 0.1408866  -0.12248282]</t>
  </si>
  <si>
    <t>[ 0.76322768 -0.22079373]</t>
  </si>
  <si>
    <t>Utilities</t>
  </si>
  <si>
    <t>NEE</t>
  </si>
  <si>
    <t>PEG</t>
  </si>
  <si>
    <t>[ 0.60993771 -0.71030696]</t>
  </si>
  <si>
    <t>Communication_Services</t>
  </si>
  <si>
    <t>GOOGL</t>
  </si>
  <si>
    <t>META</t>
  </si>
  <si>
    <t>[ 0.26978576 -0.07183855]</t>
  </si>
  <si>
    <t>Correlated</t>
  </si>
  <si>
    <t>Cointegrated_ADF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</si>
</sst>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CAEB2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ECAE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28"/>
  <sheetViews>
    <sheetView showGridLines="0" tabSelected="1" workbookViewId="0">
      <selection activeCell="F31" sqref="F31"/>
    </sheetView>
  </sheetViews>
  <sheetFormatPr baseColWidth="10" defaultColWidth="8.83203125" defaultRowHeight="15" x14ac:dyDescent="0.2"/>
  <cols>
    <col min="1" max="1" width="8.83203125" style="1" customWidth="1"/>
    <col min="2" max="2" width="20.5" style="1" bestFit="1" customWidth="1"/>
    <col min="3" max="4" width="6.83203125" style="1" bestFit="1" customWidth="1"/>
    <col min="5" max="5" width="12.1640625" style="1" bestFit="1" customWidth="1"/>
    <col min="6" max="6" width="12.1640625" style="1" customWidth="1"/>
    <col min="7" max="7" width="12.1640625" style="1" bestFit="1" customWidth="1"/>
    <col min="8" max="8" width="15.33203125" style="1" bestFit="1" customWidth="1"/>
    <col min="9" max="9" width="12.1640625" style="1" bestFit="1" customWidth="1"/>
    <col min="10" max="10" width="8.1640625" style="1" bestFit="1" customWidth="1"/>
    <col min="11" max="11" width="19.5" style="1" bestFit="1" customWidth="1"/>
    <col min="12" max="12" width="12.1640625" style="1" bestFit="1" customWidth="1"/>
    <col min="13" max="13" width="22.6640625" style="1" bestFit="1" customWidth="1"/>
    <col min="14" max="16384" width="8.83203125" style="1"/>
  </cols>
  <sheetData>
    <row r="1" spans="2:13" ht="16" thickBot="1" x14ac:dyDescent="0.25"/>
    <row r="2" spans="2:13" ht="16" thickBot="1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70</v>
      </c>
      <c r="G2" s="2" t="s">
        <v>4</v>
      </c>
      <c r="H2" s="2" t="s">
        <v>71</v>
      </c>
      <c r="I2" s="2" t="s">
        <v>5</v>
      </c>
      <c r="J2" s="2" t="s">
        <v>6</v>
      </c>
      <c r="K2" s="2" t="s">
        <v>7</v>
      </c>
      <c r="L2" s="2" t="s">
        <v>8</v>
      </c>
      <c r="M2" s="2" t="s">
        <v>9</v>
      </c>
    </row>
    <row r="3" spans="2:13" ht="16" thickBot="1" x14ac:dyDescent="0.25">
      <c r="B3" s="4" t="s">
        <v>10</v>
      </c>
      <c r="C3" s="4" t="s">
        <v>11</v>
      </c>
      <c r="D3" s="4" t="s">
        <v>12</v>
      </c>
      <c r="E3" s="4">
        <v>0.61839504516080568</v>
      </c>
      <c r="F3" s="4" t="str">
        <f t="shared" ref="F3:F28" si="0">IF(E3&gt;0.6, "TRUE", "FALSE")</f>
        <v>TRUE</v>
      </c>
      <c r="G3" s="4">
        <v>7.8198288031969536E-4</v>
      </c>
      <c r="H3" s="4" t="str">
        <f t="shared" ref="H3:H28" si="1">IF(G3&lt;0.05, "TRUE", "FALSE")</f>
        <v>TRUE</v>
      </c>
      <c r="I3" s="4">
        <v>24.967231763426689</v>
      </c>
      <c r="J3" s="4">
        <v>15.494300000000001</v>
      </c>
      <c r="K3" s="4" t="str">
        <f>IF(I3&gt;J3, "TRUE", "FALSE")</f>
        <v>TRUE</v>
      </c>
      <c r="L3" s="4">
        <v>1.611381718659552</v>
      </c>
      <c r="M3" s="4" t="s">
        <v>13</v>
      </c>
    </row>
    <row r="4" spans="2:13" ht="16" thickBot="1" x14ac:dyDescent="0.25">
      <c r="B4" s="3" t="s">
        <v>10</v>
      </c>
      <c r="C4" s="3" t="s">
        <v>11</v>
      </c>
      <c r="D4" s="3" t="s">
        <v>14</v>
      </c>
      <c r="E4" s="3">
        <v>0.6325629441036188</v>
      </c>
      <c r="F4" s="3" t="str">
        <f t="shared" si="0"/>
        <v>TRUE</v>
      </c>
      <c r="G4" s="3">
        <v>1.8368926430328308E-2</v>
      </c>
      <c r="H4" s="3" t="str">
        <f t="shared" si="1"/>
        <v>TRUE</v>
      </c>
      <c r="I4" s="3">
        <v>16.736842234094521</v>
      </c>
      <c r="J4" s="3">
        <v>15.494300000000001</v>
      </c>
      <c r="K4" s="3" t="str">
        <f t="shared" ref="K4:K28" si="2">IF(I4&gt;J4, "TRUE", "FALSE")</f>
        <v>TRUE</v>
      </c>
      <c r="L4" s="3">
        <v>1.0801935056178411</v>
      </c>
      <c r="M4" s="3" t="s">
        <v>15</v>
      </c>
    </row>
    <row r="5" spans="2:13" ht="16" thickBot="1" x14ac:dyDescent="0.25">
      <c r="B5" s="3" t="s">
        <v>10</v>
      </c>
      <c r="C5" s="3" t="s">
        <v>12</v>
      </c>
      <c r="D5" s="3" t="s">
        <v>14</v>
      </c>
      <c r="E5" s="3">
        <v>0.70246869725059913</v>
      </c>
      <c r="F5" s="3" t="str">
        <f t="shared" si="0"/>
        <v>TRUE</v>
      </c>
      <c r="G5" s="3">
        <v>0.38145949992790212</v>
      </c>
      <c r="H5" s="3" t="str">
        <f t="shared" si="1"/>
        <v>FALSE</v>
      </c>
      <c r="I5" s="3">
        <v>9.9778972722111128</v>
      </c>
      <c r="J5" s="3">
        <v>15.494300000000001</v>
      </c>
      <c r="K5" s="3" t="str">
        <f t="shared" si="2"/>
        <v>FALSE</v>
      </c>
      <c r="L5" s="3">
        <v>0.64397212343965926</v>
      </c>
      <c r="M5" s="3" t="s">
        <v>16</v>
      </c>
    </row>
    <row r="6" spans="2:13" ht="16" thickBot="1" x14ac:dyDescent="0.25">
      <c r="B6" s="3" t="s">
        <v>17</v>
      </c>
      <c r="C6" s="3" t="s">
        <v>18</v>
      </c>
      <c r="D6" s="3" t="s">
        <v>19</v>
      </c>
      <c r="E6" s="3">
        <v>0.60352785866601755</v>
      </c>
      <c r="F6" s="3" t="str">
        <f t="shared" si="0"/>
        <v>TRUE</v>
      </c>
      <c r="G6" s="3">
        <v>6.1667155900866114E-4</v>
      </c>
      <c r="H6" s="3" t="str">
        <f t="shared" si="1"/>
        <v>TRUE</v>
      </c>
      <c r="I6" s="3">
        <v>20.22047146842954</v>
      </c>
      <c r="J6" s="3">
        <v>15.494300000000001</v>
      </c>
      <c r="K6" s="3" t="str">
        <f t="shared" si="2"/>
        <v>TRUE</v>
      </c>
      <c r="L6" s="3">
        <v>1.3050264593062959</v>
      </c>
      <c r="M6" s="3" t="s">
        <v>20</v>
      </c>
    </row>
    <row r="7" spans="2:13" ht="16" thickBot="1" x14ac:dyDescent="0.25">
      <c r="B7" s="3" t="s">
        <v>21</v>
      </c>
      <c r="C7" s="3" t="s">
        <v>22</v>
      </c>
      <c r="D7" s="3" t="s">
        <v>23</v>
      </c>
      <c r="E7" s="3">
        <v>0.67541843764666398</v>
      </c>
      <c r="F7" s="3" t="str">
        <f t="shared" si="0"/>
        <v>TRUE</v>
      </c>
      <c r="G7" s="3">
        <v>2.798440864392866E-3</v>
      </c>
      <c r="H7" s="3" t="str">
        <f t="shared" si="1"/>
        <v>TRUE</v>
      </c>
      <c r="I7" s="3">
        <v>18.890718728770381</v>
      </c>
      <c r="J7" s="3">
        <v>15.494300000000001</v>
      </c>
      <c r="K7" s="3" t="str">
        <f t="shared" si="2"/>
        <v>TRUE</v>
      </c>
      <c r="L7" s="3">
        <v>1.2192043996031039</v>
      </c>
      <c r="M7" s="3" t="s">
        <v>24</v>
      </c>
    </row>
    <row r="8" spans="2:13" ht="16" thickBot="1" x14ac:dyDescent="0.25">
      <c r="B8" s="3" t="s">
        <v>25</v>
      </c>
      <c r="C8" s="3" t="s">
        <v>26</v>
      </c>
      <c r="D8" s="3" t="s">
        <v>27</v>
      </c>
      <c r="E8" s="3">
        <v>0.87126639613746459</v>
      </c>
      <c r="F8" s="3" t="str">
        <f t="shared" si="0"/>
        <v>TRUE</v>
      </c>
      <c r="G8" s="3">
        <v>1.267772930683297E-3</v>
      </c>
      <c r="H8" s="3" t="str">
        <f t="shared" si="1"/>
        <v>TRUE</v>
      </c>
      <c r="I8" s="3">
        <v>18.605982912972699</v>
      </c>
      <c r="J8" s="3">
        <v>15.494300000000001</v>
      </c>
      <c r="K8" s="3" t="str">
        <f t="shared" si="2"/>
        <v>TRUE</v>
      </c>
      <c r="L8" s="3">
        <v>1.2008275890471141</v>
      </c>
      <c r="M8" s="3" t="s">
        <v>28</v>
      </c>
    </row>
    <row r="9" spans="2:13" ht="16" thickBot="1" x14ac:dyDescent="0.25">
      <c r="B9" s="3" t="s">
        <v>25</v>
      </c>
      <c r="C9" s="3" t="s">
        <v>26</v>
      </c>
      <c r="D9" s="3" t="s">
        <v>29</v>
      </c>
      <c r="E9" s="3">
        <v>0.84805061029936235</v>
      </c>
      <c r="F9" s="3" t="str">
        <f t="shared" si="0"/>
        <v>TRUE</v>
      </c>
      <c r="G9" s="3">
        <v>1.1977330811413179E-2</v>
      </c>
      <c r="H9" s="3" t="str">
        <f t="shared" si="1"/>
        <v>TRUE</v>
      </c>
      <c r="I9" s="3">
        <v>16.0055076266447</v>
      </c>
      <c r="J9" s="3">
        <v>15.494300000000001</v>
      </c>
      <c r="K9" s="3" t="str">
        <f t="shared" si="2"/>
        <v>TRUE</v>
      </c>
      <c r="L9" s="3">
        <v>1.03299327021193</v>
      </c>
      <c r="M9" s="3" t="s">
        <v>30</v>
      </c>
    </row>
    <row r="10" spans="2:13" ht="16" thickBot="1" x14ac:dyDescent="0.25">
      <c r="B10" s="3" t="s">
        <v>25</v>
      </c>
      <c r="C10" s="3" t="s">
        <v>26</v>
      </c>
      <c r="D10" s="3" t="s">
        <v>31</v>
      </c>
      <c r="E10" s="3">
        <v>0.73027097313476552</v>
      </c>
      <c r="F10" s="3" t="str">
        <f t="shared" si="0"/>
        <v>TRUE</v>
      </c>
      <c r="G10" s="3">
        <v>9.5450915499092296E-3</v>
      </c>
      <c r="H10" s="3" t="str">
        <f t="shared" si="1"/>
        <v>TRUE</v>
      </c>
      <c r="I10" s="3">
        <v>15.672079633458271</v>
      </c>
      <c r="J10" s="3">
        <v>15.494300000000001</v>
      </c>
      <c r="K10" s="3" t="str">
        <f t="shared" si="2"/>
        <v>TRUE</v>
      </c>
      <c r="L10" s="3">
        <v>1.0114738731958379</v>
      </c>
      <c r="M10" s="3" t="s">
        <v>32</v>
      </c>
    </row>
    <row r="11" spans="2:13" ht="16" thickBot="1" x14ac:dyDescent="0.25">
      <c r="B11" s="3" t="s">
        <v>25</v>
      </c>
      <c r="C11" s="3" t="s">
        <v>27</v>
      </c>
      <c r="D11" s="3" t="s">
        <v>29</v>
      </c>
      <c r="E11" s="3">
        <v>0.79644502562487074</v>
      </c>
      <c r="F11" s="3" t="str">
        <f t="shared" si="0"/>
        <v>TRUE</v>
      </c>
      <c r="G11" s="3">
        <v>2.3410536203965351E-2</v>
      </c>
      <c r="H11" s="3" t="str">
        <f t="shared" si="1"/>
        <v>TRUE</v>
      </c>
      <c r="I11" s="3">
        <v>10.45988880418429</v>
      </c>
      <c r="J11" s="3">
        <v>15.494300000000001</v>
      </c>
      <c r="K11" s="3" t="str">
        <f t="shared" si="2"/>
        <v>FALSE</v>
      </c>
      <c r="L11" s="3">
        <v>0.67507979090273784</v>
      </c>
      <c r="M11" s="3" t="s">
        <v>33</v>
      </c>
    </row>
    <row r="12" spans="2:13" ht="16" thickBot="1" x14ac:dyDescent="0.25">
      <c r="B12" s="3" t="s">
        <v>25</v>
      </c>
      <c r="C12" s="3" t="s">
        <v>27</v>
      </c>
      <c r="D12" s="3" t="s">
        <v>31</v>
      </c>
      <c r="E12" s="3">
        <v>0.73860334641253955</v>
      </c>
      <c r="F12" s="3" t="str">
        <f t="shared" si="0"/>
        <v>TRUE</v>
      </c>
      <c r="G12" s="3">
        <v>1.826050842569454E-2</v>
      </c>
      <c r="H12" s="3" t="str">
        <f t="shared" si="1"/>
        <v>TRUE</v>
      </c>
      <c r="I12" s="3">
        <v>12.30909841830705</v>
      </c>
      <c r="J12" s="3">
        <v>15.494300000000001</v>
      </c>
      <c r="K12" s="3" t="str">
        <f t="shared" si="2"/>
        <v>FALSE</v>
      </c>
      <c r="L12" s="3">
        <v>0.79442752614232659</v>
      </c>
      <c r="M12" s="3" t="s">
        <v>34</v>
      </c>
    </row>
    <row r="13" spans="2:13" ht="16" thickBot="1" x14ac:dyDescent="0.25">
      <c r="B13" s="3" t="s">
        <v>25</v>
      </c>
      <c r="C13" s="3" t="s">
        <v>29</v>
      </c>
      <c r="D13" s="3" t="s">
        <v>31</v>
      </c>
      <c r="E13" s="3">
        <v>0.77824303639920367</v>
      </c>
      <c r="F13" s="3" t="str">
        <f t="shared" si="0"/>
        <v>TRUE</v>
      </c>
      <c r="G13" s="3">
        <v>2.95349030511869E-2</v>
      </c>
      <c r="H13" s="3" t="str">
        <f t="shared" si="1"/>
        <v>TRUE</v>
      </c>
      <c r="I13" s="3">
        <v>10.784443528419381</v>
      </c>
      <c r="J13" s="3">
        <v>15.494300000000001</v>
      </c>
      <c r="K13" s="3" t="str">
        <f t="shared" si="2"/>
        <v>FALSE</v>
      </c>
      <c r="L13" s="3">
        <v>0.69602650835593627</v>
      </c>
      <c r="M13" s="3" t="s">
        <v>35</v>
      </c>
    </row>
    <row r="14" spans="2:13" ht="16" thickBot="1" x14ac:dyDescent="0.25">
      <c r="B14" s="3" t="s">
        <v>36</v>
      </c>
      <c r="C14" s="3" t="s">
        <v>37</v>
      </c>
      <c r="D14" s="3" t="s">
        <v>38</v>
      </c>
      <c r="E14" s="3">
        <v>0.75153691884849327</v>
      </c>
      <c r="F14" s="3" t="str">
        <f t="shared" si="0"/>
        <v>TRUE</v>
      </c>
      <c r="G14" s="3">
        <v>1.9128417413468261E-2</v>
      </c>
      <c r="H14" s="3" t="str">
        <f t="shared" si="1"/>
        <v>TRUE</v>
      </c>
      <c r="I14" s="3">
        <v>18.37780103456878</v>
      </c>
      <c r="J14" s="3">
        <v>15.494300000000001</v>
      </c>
      <c r="K14" s="3" t="str">
        <f t="shared" si="2"/>
        <v>TRUE</v>
      </c>
      <c r="L14" s="3">
        <v>1.1861007618652519</v>
      </c>
      <c r="M14" s="3" t="s">
        <v>39</v>
      </c>
    </row>
    <row r="15" spans="2:13" ht="16" thickBot="1" x14ac:dyDescent="0.25">
      <c r="B15" s="3" t="s">
        <v>36</v>
      </c>
      <c r="C15" s="3" t="s">
        <v>37</v>
      </c>
      <c r="D15" s="3" t="s">
        <v>40</v>
      </c>
      <c r="E15" s="3">
        <v>0.77218522887603103</v>
      </c>
      <c r="F15" s="3" t="str">
        <f t="shared" si="0"/>
        <v>TRUE</v>
      </c>
      <c r="G15" s="3">
        <v>3.0164985290279521E-2</v>
      </c>
      <c r="H15" s="3" t="str">
        <f t="shared" si="1"/>
        <v>TRUE</v>
      </c>
      <c r="I15" s="3">
        <v>9.2933492107056637</v>
      </c>
      <c r="J15" s="3">
        <v>15.494300000000001</v>
      </c>
      <c r="K15" s="3" t="str">
        <f t="shared" si="2"/>
        <v>FALSE</v>
      </c>
      <c r="L15" s="3">
        <v>0.59979148530141169</v>
      </c>
      <c r="M15" s="3" t="s">
        <v>41</v>
      </c>
    </row>
    <row r="16" spans="2:13" ht="16" thickBot="1" x14ac:dyDescent="0.25">
      <c r="B16" s="3" t="s">
        <v>36</v>
      </c>
      <c r="C16" s="3" t="s">
        <v>37</v>
      </c>
      <c r="D16" s="3" t="s">
        <v>42</v>
      </c>
      <c r="E16" s="3">
        <v>0.55054654460831909</v>
      </c>
      <c r="F16" s="3" t="str">
        <f t="shared" si="0"/>
        <v>FALSE</v>
      </c>
      <c r="G16" s="3">
        <v>6.8685957295330946E-2</v>
      </c>
      <c r="H16" s="3" t="str">
        <f t="shared" si="1"/>
        <v>FALSE</v>
      </c>
      <c r="I16" s="3">
        <v>7.3815180278807171</v>
      </c>
      <c r="J16" s="3">
        <v>15.494300000000001</v>
      </c>
      <c r="K16" s="3" t="str">
        <f t="shared" si="2"/>
        <v>FALSE</v>
      </c>
      <c r="L16" s="3">
        <v>0.47640216259403251</v>
      </c>
      <c r="M16" s="3" t="s">
        <v>43</v>
      </c>
    </row>
    <row r="17" spans="2:13" ht="16" thickBot="1" x14ac:dyDescent="0.25">
      <c r="B17" s="3" t="s">
        <v>36</v>
      </c>
      <c r="C17" s="3" t="s">
        <v>38</v>
      </c>
      <c r="D17" s="3" t="s">
        <v>40</v>
      </c>
      <c r="E17" s="3">
        <v>0.60203974766193846</v>
      </c>
      <c r="F17" s="3" t="str">
        <f t="shared" si="0"/>
        <v>TRUE</v>
      </c>
      <c r="G17" s="3">
        <v>6.3143709401123391E-2</v>
      </c>
      <c r="H17" s="3" t="str">
        <f t="shared" si="1"/>
        <v>FALSE</v>
      </c>
      <c r="I17" s="3">
        <v>8.5241700685012756</v>
      </c>
      <c r="J17" s="3">
        <v>15.494300000000001</v>
      </c>
      <c r="K17" s="3" t="str">
        <f t="shared" si="2"/>
        <v>FALSE</v>
      </c>
      <c r="L17" s="3">
        <v>0.55014876880538488</v>
      </c>
      <c r="M17" s="3" t="s">
        <v>44</v>
      </c>
    </row>
    <row r="18" spans="2:13" ht="16" thickBot="1" x14ac:dyDescent="0.25">
      <c r="B18" s="3" t="s">
        <v>36</v>
      </c>
      <c r="C18" s="3" t="s">
        <v>38</v>
      </c>
      <c r="D18" s="3" t="s">
        <v>42</v>
      </c>
      <c r="E18" s="3">
        <v>0.37252465912154059</v>
      </c>
      <c r="F18" s="3" t="str">
        <f t="shared" si="0"/>
        <v>FALSE</v>
      </c>
      <c r="G18" s="3">
        <v>8.3138404021196544E-2</v>
      </c>
      <c r="H18" s="3" t="str">
        <f t="shared" si="1"/>
        <v>FALSE</v>
      </c>
      <c r="I18" s="3">
        <v>7.3197251455625567</v>
      </c>
      <c r="J18" s="3">
        <v>15.494300000000001</v>
      </c>
      <c r="K18" s="3" t="str">
        <f t="shared" si="2"/>
        <v>FALSE</v>
      </c>
      <c r="L18" s="3">
        <v>0.47241405843197543</v>
      </c>
      <c r="M18" s="3" t="s">
        <v>45</v>
      </c>
    </row>
    <row r="19" spans="2:13" ht="16" thickBot="1" x14ac:dyDescent="0.25">
      <c r="B19" s="3" t="s">
        <v>36</v>
      </c>
      <c r="C19" s="3" t="s">
        <v>40</v>
      </c>
      <c r="D19" s="3" t="s">
        <v>42</v>
      </c>
      <c r="E19" s="3">
        <v>0.76588313343188208</v>
      </c>
      <c r="F19" s="3" t="str">
        <f t="shared" si="0"/>
        <v>TRUE</v>
      </c>
      <c r="G19" s="3">
        <v>1.9118490817821021E-2</v>
      </c>
      <c r="H19" s="3" t="str">
        <f t="shared" si="1"/>
        <v>TRUE</v>
      </c>
      <c r="I19" s="3">
        <v>15.740987234565219</v>
      </c>
      <c r="J19" s="3">
        <v>15.494300000000001</v>
      </c>
      <c r="K19" s="3" t="str">
        <f t="shared" si="2"/>
        <v>TRUE</v>
      </c>
      <c r="L19" s="3">
        <v>1.0159211603341369</v>
      </c>
      <c r="M19" s="3" t="s">
        <v>46</v>
      </c>
    </row>
    <row r="20" spans="2:13" ht="16" thickBot="1" x14ac:dyDescent="0.25">
      <c r="B20" s="3" t="s">
        <v>47</v>
      </c>
      <c r="C20" s="3" t="s">
        <v>48</v>
      </c>
      <c r="D20" s="3" t="s">
        <v>49</v>
      </c>
      <c r="E20" s="3">
        <v>0.60213861007794078</v>
      </c>
      <c r="F20" s="3" t="str">
        <f t="shared" si="0"/>
        <v>TRUE</v>
      </c>
      <c r="G20" s="3">
        <v>8.485706930041688E-4</v>
      </c>
      <c r="H20" s="3" t="str">
        <f t="shared" si="1"/>
        <v>TRUE</v>
      </c>
      <c r="I20" s="3">
        <v>18.159523155011669</v>
      </c>
      <c r="J20" s="3">
        <v>15.494300000000001</v>
      </c>
      <c r="K20" s="3" t="str">
        <f t="shared" si="2"/>
        <v>TRUE</v>
      </c>
      <c r="L20" s="3">
        <v>1.172013137412576</v>
      </c>
      <c r="M20" s="3" t="s">
        <v>50</v>
      </c>
    </row>
    <row r="21" spans="2:13" ht="16" thickBot="1" x14ac:dyDescent="0.25">
      <c r="B21" s="3" t="s">
        <v>51</v>
      </c>
      <c r="C21" s="3" t="s">
        <v>52</v>
      </c>
      <c r="D21" s="3" t="s">
        <v>53</v>
      </c>
      <c r="E21" s="3">
        <v>0.60992096202701152</v>
      </c>
      <c r="F21" s="3" t="str">
        <f t="shared" si="0"/>
        <v>TRUE</v>
      </c>
      <c r="G21" s="3">
        <v>2.02742775725777E-3</v>
      </c>
      <c r="H21" s="3" t="str">
        <f t="shared" si="1"/>
        <v>TRUE</v>
      </c>
      <c r="I21" s="3">
        <v>17.59093869546037</v>
      </c>
      <c r="J21" s="3">
        <v>15.494300000000001</v>
      </c>
      <c r="K21" s="3" t="str">
        <f t="shared" si="2"/>
        <v>TRUE</v>
      </c>
      <c r="L21" s="3">
        <v>1.135316774262817</v>
      </c>
      <c r="M21" s="3" t="s">
        <v>54</v>
      </c>
    </row>
    <row r="22" spans="2:13" ht="16" thickBot="1" x14ac:dyDescent="0.25">
      <c r="B22" s="3" t="s">
        <v>51</v>
      </c>
      <c r="C22" s="3" t="s">
        <v>52</v>
      </c>
      <c r="D22" s="3" t="s">
        <v>55</v>
      </c>
      <c r="E22" s="3">
        <v>0.42751010071801049</v>
      </c>
      <c r="F22" s="3" t="str">
        <f t="shared" si="0"/>
        <v>FALSE</v>
      </c>
      <c r="G22" s="3">
        <v>3.3830702185353452E-2</v>
      </c>
      <c r="H22" s="3" t="str">
        <f t="shared" si="1"/>
        <v>TRUE</v>
      </c>
      <c r="I22" s="3">
        <v>10.48518143524562</v>
      </c>
      <c r="J22" s="3">
        <v>15.494300000000001</v>
      </c>
      <c r="K22" s="3" t="str">
        <f t="shared" si="2"/>
        <v>FALSE</v>
      </c>
      <c r="L22" s="3">
        <v>0.67671217384751914</v>
      </c>
      <c r="M22" s="3" t="s">
        <v>56</v>
      </c>
    </row>
    <row r="23" spans="2:13" ht="16" thickBot="1" x14ac:dyDescent="0.25">
      <c r="B23" s="3" t="s">
        <v>51</v>
      </c>
      <c r="C23" s="3" t="s">
        <v>52</v>
      </c>
      <c r="D23" s="3" t="s">
        <v>57</v>
      </c>
      <c r="E23" s="3">
        <v>0.59782236177305781</v>
      </c>
      <c r="F23" s="3" t="str">
        <f t="shared" si="0"/>
        <v>FALSE</v>
      </c>
      <c r="G23" s="3">
        <v>1.1267037512999831E-2</v>
      </c>
      <c r="H23" s="3" t="str">
        <f t="shared" si="1"/>
        <v>TRUE</v>
      </c>
      <c r="I23" s="3">
        <v>12.386595873509821</v>
      </c>
      <c r="J23" s="3">
        <v>15.494300000000001</v>
      </c>
      <c r="K23" s="3" t="str">
        <f t="shared" si="2"/>
        <v>FALSE</v>
      </c>
      <c r="L23" s="3">
        <v>0.79942920128755846</v>
      </c>
      <c r="M23" s="3" t="s">
        <v>58</v>
      </c>
    </row>
    <row r="24" spans="2:13" ht="16" thickBot="1" x14ac:dyDescent="0.25">
      <c r="B24" s="3" t="s">
        <v>51</v>
      </c>
      <c r="C24" s="3" t="s">
        <v>53</v>
      </c>
      <c r="D24" s="3" t="s">
        <v>55</v>
      </c>
      <c r="E24" s="3">
        <v>0.62692900309328348</v>
      </c>
      <c r="F24" s="3" t="str">
        <f t="shared" si="0"/>
        <v>TRUE</v>
      </c>
      <c r="G24" s="3">
        <v>0.27500468058000438</v>
      </c>
      <c r="H24" s="3" t="str">
        <f t="shared" si="1"/>
        <v>FALSE</v>
      </c>
      <c r="I24" s="3">
        <v>7.0976621319669082</v>
      </c>
      <c r="J24" s="3">
        <v>15.494300000000001</v>
      </c>
      <c r="K24" s="3" t="str">
        <f t="shared" si="2"/>
        <v>FALSE</v>
      </c>
      <c r="L24" s="3">
        <v>0.45808214194683899</v>
      </c>
      <c r="M24" s="3" t="s">
        <v>59</v>
      </c>
    </row>
    <row r="25" spans="2:13" ht="16" thickBot="1" x14ac:dyDescent="0.25">
      <c r="B25" s="3" t="s">
        <v>51</v>
      </c>
      <c r="C25" s="3" t="s">
        <v>53</v>
      </c>
      <c r="D25" s="3" t="s">
        <v>57</v>
      </c>
      <c r="E25" s="3">
        <v>0.64209172967154049</v>
      </c>
      <c r="F25" s="3" t="str">
        <f t="shared" si="0"/>
        <v>TRUE</v>
      </c>
      <c r="G25" s="3">
        <v>0.10135142755554941</v>
      </c>
      <c r="H25" s="3" t="str">
        <f t="shared" si="1"/>
        <v>FALSE</v>
      </c>
      <c r="I25" s="3">
        <v>7.8189245085111541</v>
      </c>
      <c r="J25" s="3">
        <v>15.494300000000001</v>
      </c>
      <c r="K25" s="3" t="str">
        <f t="shared" si="2"/>
        <v>FALSE</v>
      </c>
      <c r="L25" s="3">
        <v>0.50463231694953326</v>
      </c>
      <c r="M25" s="3" t="s">
        <v>60</v>
      </c>
    </row>
    <row r="26" spans="2:13" ht="16" thickBot="1" x14ac:dyDescent="0.25">
      <c r="B26" s="3" t="s">
        <v>51</v>
      </c>
      <c r="C26" s="3" t="s">
        <v>55</v>
      </c>
      <c r="D26" s="3" t="s">
        <v>57</v>
      </c>
      <c r="E26" s="3">
        <v>0.68508992042726669</v>
      </c>
      <c r="F26" s="3" t="str">
        <f t="shared" si="0"/>
        <v>TRUE</v>
      </c>
      <c r="G26" s="3">
        <v>1.150516603473799E-3</v>
      </c>
      <c r="H26" s="3" t="str">
        <f t="shared" si="1"/>
        <v>TRUE</v>
      </c>
      <c r="I26" s="3">
        <v>16.782190355590831</v>
      </c>
      <c r="J26" s="3">
        <v>15.494300000000001</v>
      </c>
      <c r="K26" s="3" t="str">
        <f t="shared" si="2"/>
        <v>TRUE</v>
      </c>
      <c r="L26" s="3">
        <v>1.083120267168626</v>
      </c>
      <c r="M26" s="3" t="s">
        <v>61</v>
      </c>
    </row>
    <row r="27" spans="2:13" ht="16" thickBot="1" x14ac:dyDescent="0.25">
      <c r="B27" s="3" t="s">
        <v>62</v>
      </c>
      <c r="C27" s="3" t="s">
        <v>63</v>
      </c>
      <c r="D27" s="3" t="s">
        <v>64</v>
      </c>
      <c r="E27" s="3">
        <v>0.7037610421524042</v>
      </c>
      <c r="F27" s="3" t="str">
        <f t="shared" si="0"/>
        <v>TRUE</v>
      </c>
      <c r="G27" s="3">
        <v>2.48283298082216E-3</v>
      </c>
      <c r="H27" s="3" t="str">
        <f t="shared" si="1"/>
        <v>TRUE</v>
      </c>
      <c r="I27" s="3">
        <v>17.449243997217319</v>
      </c>
      <c r="J27" s="3">
        <v>15.494300000000001</v>
      </c>
      <c r="K27" s="3" t="str">
        <f t="shared" si="2"/>
        <v>TRUE</v>
      </c>
      <c r="L27" s="3">
        <v>1.126171817843808</v>
      </c>
      <c r="M27" s="3" t="s">
        <v>65</v>
      </c>
    </row>
    <row r="28" spans="2:13" ht="16" thickBot="1" x14ac:dyDescent="0.25">
      <c r="B28" s="3" t="s">
        <v>66</v>
      </c>
      <c r="C28" s="3" t="s">
        <v>67</v>
      </c>
      <c r="D28" s="3" t="s">
        <v>68</v>
      </c>
      <c r="E28" s="3">
        <v>0.64630597372013243</v>
      </c>
      <c r="F28" s="3" t="str">
        <f t="shared" si="0"/>
        <v>TRUE</v>
      </c>
      <c r="G28" s="3">
        <v>3.6369940006813141E-3</v>
      </c>
      <c r="H28" s="3" t="str">
        <f t="shared" si="1"/>
        <v>TRUE</v>
      </c>
      <c r="I28" s="3">
        <v>15.619756089350251</v>
      </c>
      <c r="J28" s="3">
        <v>15.494300000000001</v>
      </c>
      <c r="K28" s="3" t="str">
        <f t="shared" si="2"/>
        <v>TRUE</v>
      </c>
      <c r="L28" s="3">
        <v>1.0080969188250031</v>
      </c>
      <c r="M28" s="3" t="s">
        <v>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HERRERA IBARRA, IVANNA</cp:lastModifiedBy>
  <dcterms:created xsi:type="dcterms:W3CDTF">2025-11-12T03:23:53Z</dcterms:created>
  <dcterms:modified xsi:type="dcterms:W3CDTF">2025-11-12T13:50:39Z</dcterms:modified>
</cp:coreProperties>
</file>